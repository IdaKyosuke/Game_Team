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BA493052-355F-42B1-BB32-BC9887CA1744}" xr6:coauthVersionLast="47" xr6:coauthVersionMax="47" xr10:uidLastSave="{00000000-0000-0000-0000-000000000000}"/>
  <bookViews>
    <workbookView xWindow="5010" yWindow="-13155" windowWidth="21600" windowHeight="11295" tabRatio="500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4" l="1"/>
  <c r="H3" i="3"/>
  <c r="H2" i="3"/>
  <c r="H3" i="2"/>
  <c r="H2" i="2"/>
  <c r="H3" i="1"/>
  <c r="H2" i="1"/>
  <c r="G5" i="5"/>
  <c r="G4" i="5"/>
  <c r="G3" i="5"/>
  <c r="G2" i="5"/>
</calcChain>
</file>

<file path=xl/sharedStrings.xml><?xml version="1.0" encoding="utf-8"?>
<sst xmlns="http://schemas.openxmlformats.org/spreadsheetml/2006/main" count="64" uniqueCount="24">
  <si>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</si>
  <si>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</si>
  <si>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</si>
  <si>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</si>
  <si>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</si>
  <si>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</si>
  <si>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</si>
  <si>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</si>
  <si>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</si>
  <si>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</si>
  <si>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</si>
  <si>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</si>
  <si>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</si>
  <si>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</si>
  <si>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</si>
  <si>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1×1</t>
  </si>
  <si>
    <t>1×1_body</t>
  </si>
  <si>
    <t>1×1_gauntlet</t>
  </si>
  <si>
    <t>1×1_head</t>
  </si>
  <si>
    <t>1×1_shoes</t>
  </si>
  <si>
    <t>1×1_Weapon</t>
  </si>
  <si>
    <t>1×2</t>
  </si>
  <si>
    <t>price</t>
    <phoneticPr fontId="3"/>
  </si>
  <si>
    <t>1×1_head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</si>
</sst>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b/>
      <sz val="11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Normal="100" workbookViewId="0">
      <selection activeCell="I4" sqref="I4"/>
    </sheetView>
  </sheetViews>
  <sheetFormatPr defaultRowHeight="18.75" x14ac:dyDescent="0.4"/>
  <cols>
    <col min="1" max="1" width="4.625" customWidth="1"/>
    <col min="2" max="2" width="12" customWidth="1"/>
    <col min="3" max="4" width="8.625" customWidth="1"/>
    <col min="5" max="5" width="13.375" customWidth="1"/>
    <col min="6" max="6" width="16.87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ht="25.5" customHeight="1" x14ac:dyDescent="0.4">
      <c r="A2">
        <v>0</v>
      </c>
      <c r="B2" t="s">
        <v>15</v>
      </c>
      <c r="C2">
        <v>1</v>
      </c>
      <c r="D2">
        <v>1</v>
      </c>
      <c r="E2">
        <v>50</v>
      </c>
      <c r="F2" t="s">
        <v>15</v>
      </c>
      <c r="G2">
        <v>5</v>
      </c>
      <c r="H2" t="str">
        <f>IF(G2=0,"Helmet",IF(G2=1,"Armor",IF(G2=2,"Gauntlet",IF(G2=3,"Shoes",IF(G2=4,"Weapon","None")))))</f>
        <v>None</v>
      </c>
      <c r="I2">
        <v>30</v>
      </c>
    </row>
    <row r="3" spans="1:9" ht="25.5" customHeight="1" x14ac:dyDescent="0.4">
      <c r="A3">
        <v>1</v>
      </c>
      <c r="B3" t="s">
        <v>16</v>
      </c>
      <c r="C3">
        <v>1</v>
      </c>
      <c r="D3">
        <v>1</v>
      </c>
      <c r="E3">
        <v>50</v>
      </c>
      <c r="F3" t="s">
        <v>16</v>
      </c>
      <c r="G3">
        <v>1</v>
      </c>
      <c r="H3" t="str">
        <f>IF(G3=0,"Helmet",IF(G3=1,"Armor",IF(G3=2,"Gauntlet",IF(G3=3,"Shoes",IF(G3=4,"Weapon","None")))))</f>
        <v>Armor</v>
      </c>
      <c r="I3">
        <v>10</v>
      </c>
    </row>
    <row r="4" spans="1:9" ht="25.5" customHeight="1" x14ac:dyDescent="0.4"/>
    <row r="5" spans="1:9" ht="25.5" customHeight="1" x14ac:dyDescent="0.4"/>
    <row r="6" spans="1:9" ht="25.5" customHeight="1" x14ac:dyDescent="0.4"/>
    <row r="7" spans="1:9" ht="25.5" customHeight="1" x14ac:dyDescent="0.4"/>
    <row r="8" spans="1:9" ht="25.5" customHeight="1" x14ac:dyDescent="0.4"/>
    <row r="9" spans="1:9" ht="25.5" customHeight="1" x14ac:dyDescent="0.4"/>
    <row r="10" spans="1:9" ht="25.5" customHeight="1" x14ac:dyDescent="0.4"/>
    <row r="11" spans="1:9" ht="25.5" customHeight="1" x14ac:dyDescent="0.4"/>
    <row r="12" spans="1:9" ht="25.5" customHeight="1" x14ac:dyDescent="0.4"/>
    <row r="13" spans="1:9" ht="25.5" customHeight="1" x14ac:dyDescent="0.4"/>
    <row r="14" spans="1:9" ht="25.5" customHeight="1" x14ac:dyDescent="0.4"/>
    <row r="15" spans="1:9" ht="25.5" customHeight="1" x14ac:dyDescent="0.4"/>
    <row r="16" spans="1:9" ht="25.5" customHeight="1" x14ac:dyDescent="0.4"/>
    <row r="17" ht="25.5" customHeight="1" x14ac:dyDescent="0.4"/>
    <row r="18" ht="25.5" customHeight="1" x14ac:dyDescent="0.4"/>
    <row r="19" ht="25.5" customHeight="1" x14ac:dyDescent="0.4"/>
    <row r="20" ht="25.5" customHeight="1" x14ac:dyDescent="0.4"/>
    <row r="21" ht="25.5" customHeight="1" x14ac:dyDescent="0.4"/>
    <row r="22" ht="25.5" customHeight="1" x14ac:dyDescent="0.4"/>
    <row r="23" ht="25.5" customHeight="1" x14ac:dyDescent="0.4"/>
    <row r="24" ht="25.5" customHeight="1" x14ac:dyDescent="0.4"/>
    <row r="25" ht="25.5" customHeight="1" x14ac:dyDescent="0.4"/>
    <row r="26" ht="25.5" customHeight="1" x14ac:dyDescent="0.4"/>
    <row r="27" ht="25.5" customHeight="1" x14ac:dyDescent="0.4"/>
    <row r="28" ht="25.5" customHeight="1" x14ac:dyDescent="0.4"/>
    <row r="29" ht="25.5" customHeight="1" x14ac:dyDescent="0.4"/>
    <row r="30" ht="25.5" customHeight="1" x14ac:dyDescent="0.4"/>
    <row r="31" ht="25.5" customHeight="1" x14ac:dyDescent="0.4"/>
    <row r="32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</sheetData>
  <phoneticPr fontId="3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workbookViewId="0">
      <selection activeCell="C6" sqref="C6"/>
    </sheetView>
  </sheetViews>
  <sheetFormatPr defaultRowHeight="18.75" x14ac:dyDescent="0.4"/>
  <cols>
    <col min="1" max="1" width="8.625" customWidth="1"/>
    <col min="2" max="2" width="14.5" customWidth="1"/>
    <col min="3" max="4" width="8.625" customWidth="1"/>
    <col min="5" max="5" width="10.375" customWidth="1"/>
    <col min="6" max="6" width="13.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17</v>
      </c>
      <c r="C2">
        <v>1</v>
      </c>
      <c r="D2">
        <v>1</v>
      </c>
      <c r="E2">
        <v>50</v>
      </c>
      <c r="F2" t="s">
        <v>17</v>
      </c>
      <c r="G2">
        <v>2</v>
      </c>
      <c r="H2" t="str">
        <f>IF(G2=0,"Helmet",IF(G2=1,"Armor",IF(G2=2,"Gauntlet",IF(G2=3,"Shoes",IF(G2=4,"Weapon","None")))))</f>
        <v>Gauntlet</v>
      </c>
      <c r="I2">
        <v>100</v>
      </c>
    </row>
    <row r="3" spans="1:9" x14ac:dyDescent="0.4">
      <c r="A3">
        <v>1</v>
      </c>
      <c r="B3" t="s">
        <v>23</v>
      </c>
      <c r="C3">
        <v>1</v>
      </c>
      <c r="D3">
        <v>1</v>
      </c>
      <c r="E3">
        <v>50</v>
      </c>
      <c r="F3" t="s">
        <v>18</v>
      </c>
      <c r="G3">
        <v>0</v>
      </c>
      <c r="H3" t="str">
        <f>IF(G3=0,"Helmet",IF(G3=1,"Armor",IF(G3=2,"Gauntlet",IF(G3=3,"Shoes",IF(G3=4,"Weapon","None")))))</f>
        <v>Helmet</v>
      </c>
      <c r="I3">
        <v>80</v>
      </c>
    </row>
  </sheetData>
  <phoneticPr fontId="3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zoomScaleNormal="100" workbookViewId="0">
      <selection activeCell="H7" sqref="H7"/>
    </sheetView>
  </sheetViews>
  <sheetFormatPr defaultRowHeight="18.75" x14ac:dyDescent="0.4"/>
  <cols>
    <col min="1" max="1" width="8.625" customWidth="1"/>
    <col min="2" max="2" width="12.8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19</v>
      </c>
      <c r="C2">
        <v>1</v>
      </c>
      <c r="D2">
        <v>1</v>
      </c>
      <c r="E2">
        <v>50</v>
      </c>
      <c r="F2" t="s">
        <v>19</v>
      </c>
      <c r="G2">
        <v>3</v>
      </c>
      <c r="H2" t="str">
        <f>IF(G2=0,"Helmet",IF(G2=1,"Armor",IF(G2=2,"Gauntlet",IF(G2=3,"Shoes",IF(G2=4,"Weapon","None")))))</f>
        <v>Shoes</v>
      </c>
      <c r="I2">
        <v>250</v>
      </c>
    </row>
    <row r="3" spans="1:9" x14ac:dyDescent="0.4">
      <c r="A3">
        <v>1</v>
      </c>
      <c r="B3" t="s">
        <v>20</v>
      </c>
      <c r="C3">
        <v>1</v>
      </c>
      <c r="D3">
        <v>1</v>
      </c>
      <c r="E3">
        <v>50</v>
      </c>
      <c r="F3" t="s">
        <v>20</v>
      </c>
      <c r="G3">
        <v>4</v>
      </c>
      <c r="H3" t="str">
        <f>IF(G3=0,"Helmet",IF(G3=1,"Armor",IF(G3=2,"Gauntlet",IF(G3=3,"Shoes",IF(G3=4,"Weapon","None")))))</f>
        <v>Weapon</v>
      </c>
      <c r="I3">
        <v>500</v>
      </c>
    </row>
  </sheetData>
  <phoneticPr fontId="3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zoomScaleNormal="100" workbookViewId="0">
      <selection activeCell="I2" sqref="I2"/>
    </sheetView>
  </sheetViews>
  <sheetFormatPr defaultRowHeight="18.75" x14ac:dyDescent="0.4"/>
  <cols>
    <col min="1" max="1" width="8.625" customWidth="1"/>
    <col min="2" max="2" width="11.375" customWidth="1"/>
    <col min="3" max="4" width="8.625" customWidth="1"/>
    <col min="5" max="5" width="11.375" customWidth="1"/>
    <col min="6" max="6" width="13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21</v>
      </c>
      <c r="C2">
        <v>1</v>
      </c>
      <c r="D2">
        <v>2</v>
      </c>
      <c r="E2">
        <v>100</v>
      </c>
      <c r="F2" t="s">
        <v>21</v>
      </c>
      <c r="G2">
        <v>5</v>
      </c>
      <c r="H2" t="str">
        <f>IF(G2=0,"Helmet",IF(G2=1,"Armor",IF(G2=2,"Gauntlet",IF(G2=3,"Shoes",IF(G2=4,"Weapon","None")))))</f>
        <v>None</v>
      </c>
      <c r="I2">
        <v>1000</v>
      </c>
    </row>
    <row r="4" spans="1:9" x14ac:dyDescent="0.4">
      <c r="G4" s="1"/>
    </row>
  </sheetData>
  <phoneticPr fontId="3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2" t="s">
        <v>6</v>
      </c>
      <c r="C1" t="s">
        <v>2</v>
      </c>
      <c r="D1" t="s">
        <v>3</v>
      </c>
      <c r="E1" t="s">
        <v>7</v>
      </c>
      <c r="F1" t="s">
        <v>8</v>
      </c>
      <c r="G1" s="3" t="s">
        <v>9</v>
      </c>
      <c r="H1" s="3" t="s">
        <v>10</v>
      </c>
      <c r="I1" s="3" t="s">
        <v>11</v>
      </c>
      <c r="J1" s="3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3">
        <f>100 - (H2+I2+J2)</f>
        <v>89</v>
      </c>
      <c r="H2" s="3">
        <v>10</v>
      </c>
      <c r="I2" s="3">
        <v>1</v>
      </c>
      <c r="J2" s="3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3">
        <f>100 - (H3+I3+J3)</f>
        <v>74</v>
      </c>
      <c r="H3" s="3">
        <v>20</v>
      </c>
      <c r="I3" s="3">
        <v>5</v>
      </c>
      <c r="J3" s="3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3">
        <f>100 - (H4+I4+J4)</f>
        <v>60</v>
      </c>
      <c r="H4" s="3">
        <v>30</v>
      </c>
      <c r="I4" s="3">
        <v>5</v>
      </c>
      <c r="J4" s="3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3">
        <f>100 - (H5+I5+J5)</f>
        <v>45</v>
      </c>
      <c r="H5" s="3">
        <v>40</v>
      </c>
      <c r="I5" s="3">
        <v>10</v>
      </c>
      <c r="J5" s="3">
        <v>5</v>
      </c>
    </row>
  </sheetData>
  <phoneticPr fontId="3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2025-11-04T04:49:45Z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