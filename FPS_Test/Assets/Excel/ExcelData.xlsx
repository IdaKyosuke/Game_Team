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2024\GitHub\game_team\FPS_Test\Assets\Excel\"/>
    </mc:Choice>
  </mc:AlternateContent>
  <xr:revisionPtr revIDLastSave="0" documentId="13_ncr:1_{5D373BA7-3860-4A7F-A49F-2132507F02D6}" xr6:coauthVersionLast="47" xr6:coauthVersionMax="47" xr10:uidLastSave="{00000000-0000-0000-0000-000000000000}"/>
  <bookViews>
    <workbookView xWindow="3390" yWindow="-13860" windowWidth="21600" windowHeight="11295" tabRatio="500" activeTab="1" xr2:uid="{00000000-000D-0000-FFFF-FFFF00000000}"/>
  </bookViews>
  <sheets>
    <sheet name="common" sheetId="1" r:id="rId1"/>
    <sheet name="rare" sheetId="2" r:id="rId2"/>
    <sheet name="unique" sheetId="3" r:id="rId3"/>
    <sheet name="legendary" sheetId="4" r:id="rId4"/>
    <sheet name="treasureBox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2" i="2" l="1"/>
  <c r="H3" i="2"/>
  <c r="H4" i="2"/>
  <c r="E30" i="2"/>
  <c r="H5" i="4"/>
  <c r="H4" i="4"/>
  <c r="H3" i="4"/>
  <c r="H2" i="4"/>
  <c r="H5" i="3"/>
  <c r="H4" i="3"/>
  <c r="H3" i="3"/>
  <c r="H2" i="3"/>
  <c r="H8" i="2"/>
  <c r="H7" i="2"/>
  <c r="H6" i="2"/>
  <c r="H5" i="2"/>
  <c r="H2" i="1"/>
  <c r="H3" i="1"/>
  <c r="H4" i="1"/>
  <c r="H5" i="1"/>
  <c r="E18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E15" i="3"/>
  <c r="H6" i="3"/>
  <c r="H7" i="3"/>
  <c r="H8" i="3"/>
  <c r="H9" i="3"/>
  <c r="H10" i="3"/>
  <c r="H11" i="3"/>
  <c r="H12" i="3"/>
  <c r="H13" i="3"/>
  <c r="H14" i="3"/>
  <c r="H15" i="3"/>
  <c r="H19" i="2"/>
  <c r="H30" i="2"/>
  <c r="H9" i="2"/>
  <c r="H10" i="2"/>
  <c r="H11" i="2"/>
  <c r="H12" i="2"/>
  <c r="H13" i="2"/>
  <c r="H14" i="2"/>
  <c r="H15" i="2"/>
  <c r="H16" i="2"/>
  <c r="H17" i="2"/>
  <c r="H18" i="2"/>
  <c r="H20" i="2"/>
  <c r="H21" i="2"/>
  <c r="H22" i="2"/>
  <c r="H23" i="2"/>
  <c r="H24" i="2"/>
  <c r="H25" i="2"/>
  <c r="H26" i="2"/>
  <c r="H27" i="2"/>
  <c r="H28" i="2"/>
  <c r="H29" i="2"/>
  <c r="E18" i="1"/>
  <c r="H18" i="1"/>
  <c r="H6" i="1"/>
  <c r="H7" i="1"/>
  <c r="H8" i="1"/>
  <c r="H9" i="1"/>
  <c r="H10" i="1"/>
  <c r="H11" i="1"/>
  <c r="H12" i="1"/>
  <c r="H13" i="1"/>
  <c r="H14" i="1"/>
  <c r="H15" i="1"/>
  <c r="H16" i="1"/>
  <c r="H17" i="1"/>
  <c r="G5" i="5"/>
  <c r="G4" i="5"/>
  <c r="G3" i="5"/>
  <c r="G2" i="5"/>
</calcChain>
</file>

<file path=xl/sharedStrings.xml><?xml version="1.0" encoding="utf-8"?>
<sst xmlns="http://schemas.openxmlformats.org/spreadsheetml/2006/main" count="204" uniqueCount="98">
  <si>
    <t>id</t>
  </si>
  <si>
    <t>objectName</t>
  </si>
  <si>
    <t>width</t>
  </si>
  <si>
    <t>height</t>
  </si>
  <si>
    <t>probability</t>
  </si>
  <si>
    <t>displayName</t>
  </si>
  <si>
    <t>rarity</t>
  </si>
  <si>
    <t>itemMin</t>
  </si>
  <si>
    <t>itemMax</t>
  </si>
  <si>
    <t>common</t>
  </si>
  <si>
    <t>rare</t>
  </si>
  <si>
    <t>unique</t>
  </si>
  <si>
    <t>legendary</t>
  </si>
  <si>
    <t>equipmentType</t>
  </si>
  <si>
    <t>typeName</t>
  </si>
  <si>
    <t>price</t>
    <phoneticPr fontId="2"/>
  </si>
  <si>
    <t>小麦袋</t>
    <rPh sb="0" eb="3">
      <t>コムギブクロ</t>
    </rPh>
    <phoneticPr fontId="2"/>
  </si>
  <si>
    <t>水差し</t>
    <rPh sb="0" eb="2">
      <t>ミズサ</t>
    </rPh>
    <phoneticPr fontId="2"/>
  </si>
  <si>
    <t>草かんむり</t>
    <rPh sb="0" eb="1">
      <t>クサ</t>
    </rPh>
    <phoneticPr fontId="2"/>
  </si>
  <si>
    <t>銅の盃</t>
    <rPh sb="0" eb="1">
      <t>ドウ</t>
    </rPh>
    <rPh sb="2" eb="3">
      <t>サカズキ</t>
    </rPh>
    <phoneticPr fontId="2"/>
  </si>
  <si>
    <t>銅の腕輪</t>
    <rPh sb="0" eb="1">
      <t>ドウ</t>
    </rPh>
    <rPh sb="2" eb="4">
      <t>ウデワ</t>
    </rPh>
    <phoneticPr fontId="2"/>
  </si>
  <si>
    <t>木の器</t>
    <rPh sb="0" eb="1">
      <t>キ</t>
    </rPh>
    <rPh sb="2" eb="3">
      <t>ウツワ</t>
    </rPh>
    <phoneticPr fontId="2"/>
  </si>
  <si>
    <t>壺</t>
    <rPh sb="0" eb="1">
      <t>ツボ</t>
    </rPh>
    <phoneticPr fontId="2"/>
  </si>
  <si>
    <t>錆びた金貨</t>
    <rPh sb="0" eb="1">
      <t>サ</t>
    </rPh>
    <rPh sb="3" eb="5">
      <t>キンカ</t>
    </rPh>
    <phoneticPr fontId="2"/>
  </si>
  <si>
    <t>硬貨の入った袋</t>
    <rPh sb="0" eb="2">
      <t>コウカ</t>
    </rPh>
    <rPh sb="3" eb="4">
      <t>ハイ</t>
    </rPh>
    <rPh sb="6" eb="7">
      <t>フクロ</t>
    </rPh>
    <phoneticPr fontId="2"/>
  </si>
  <si>
    <t>おもちゃのティアラ</t>
    <phoneticPr fontId="2"/>
  </si>
  <si>
    <t>アンバー</t>
    <phoneticPr fontId="2"/>
  </si>
  <si>
    <t>女神像</t>
    <rPh sb="0" eb="3">
      <t>メガミゾウ</t>
    </rPh>
    <phoneticPr fontId="2"/>
  </si>
  <si>
    <t>アクアマリン</t>
    <phoneticPr fontId="2"/>
  </si>
  <si>
    <t>アメジスト</t>
    <phoneticPr fontId="2"/>
  </si>
  <si>
    <t>イエロートパーズ</t>
    <phoneticPr fontId="2"/>
  </si>
  <si>
    <t>エメラルド</t>
    <phoneticPr fontId="2"/>
  </si>
  <si>
    <t>クリスタルオパール</t>
    <phoneticPr fontId="2"/>
  </si>
  <si>
    <t>クリスタルカフス</t>
    <phoneticPr fontId="2"/>
  </si>
  <si>
    <t>ゴールデントパーズ</t>
    <phoneticPr fontId="2"/>
  </si>
  <si>
    <t>サファイアのロケット</t>
    <phoneticPr fontId="2"/>
  </si>
  <si>
    <t>シトリン</t>
    <phoneticPr fontId="2"/>
  </si>
  <si>
    <t>ハートのネックレス</t>
    <phoneticPr fontId="2"/>
  </si>
  <si>
    <t>パールリング</t>
    <phoneticPr fontId="2"/>
  </si>
  <si>
    <t>ヒスイのリング</t>
    <phoneticPr fontId="2"/>
  </si>
  <si>
    <t>ピンクスピネル</t>
    <phoneticPr fontId="2"/>
  </si>
  <si>
    <t>ピンクハートジェム</t>
    <phoneticPr fontId="2"/>
  </si>
  <si>
    <t>ブルーサファイア</t>
    <phoneticPr fontId="2"/>
  </si>
  <si>
    <t>ブルートパーズ</t>
    <phoneticPr fontId="2"/>
  </si>
  <si>
    <t>ペリドット</t>
    <phoneticPr fontId="2"/>
  </si>
  <si>
    <t>ルビーのネックレス</t>
    <phoneticPr fontId="2"/>
  </si>
  <si>
    <t>ルビーハート</t>
    <phoneticPr fontId="2"/>
  </si>
  <si>
    <t>水晶の指輪</t>
    <rPh sb="0" eb="2">
      <t>スイショウ</t>
    </rPh>
    <rPh sb="3" eb="5">
      <t>ユビワ</t>
    </rPh>
    <phoneticPr fontId="2"/>
  </si>
  <si>
    <t>天色のブローチ</t>
    <rPh sb="0" eb="1">
      <t>テン</t>
    </rPh>
    <rPh sb="1" eb="2">
      <t>イロ</t>
    </rPh>
    <phoneticPr fontId="2"/>
  </si>
  <si>
    <t>ハートの指輪</t>
    <rPh sb="4" eb="6">
      <t>ユビワ</t>
    </rPh>
    <phoneticPr fontId="2"/>
  </si>
  <si>
    <t>クリアダイヤモンド</t>
    <phoneticPr fontId="2"/>
  </si>
  <si>
    <t>トールの裁き</t>
    <rPh sb="4" eb="5">
      <t>サバ</t>
    </rPh>
    <phoneticPr fontId="2"/>
  </si>
  <si>
    <t>ドラゴネイル</t>
    <phoneticPr fontId="2"/>
  </si>
  <si>
    <t>ルビー</t>
    <phoneticPr fontId="2"/>
  </si>
  <si>
    <t>王妃の髪飾り</t>
    <rPh sb="0" eb="2">
      <t>オウヒ</t>
    </rPh>
    <rPh sb="3" eb="5">
      <t>カミカザ</t>
    </rPh>
    <phoneticPr fontId="2"/>
  </si>
  <si>
    <t>巨人の石</t>
    <rPh sb="0" eb="2">
      <t>キョジン</t>
    </rPh>
    <rPh sb="3" eb="4">
      <t>イシ</t>
    </rPh>
    <phoneticPr fontId="2"/>
  </si>
  <si>
    <t>虚栄の王冠</t>
    <rPh sb="0" eb="2">
      <t>キョエイ</t>
    </rPh>
    <rPh sb="3" eb="5">
      <t>オウカン</t>
    </rPh>
    <phoneticPr fontId="2"/>
  </si>
  <si>
    <t>翠玉の耳飾り</t>
    <rPh sb="0" eb="2">
      <t>スイギョク</t>
    </rPh>
    <rPh sb="3" eb="5">
      <t>ミミカザ</t>
    </rPh>
    <phoneticPr fontId="2"/>
  </si>
  <si>
    <t>聖馬像</t>
    <rPh sb="0" eb="1">
      <t>セイ</t>
    </rPh>
    <rPh sb="1" eb="2">
      <t>ウマ</t>
    </rPh>
    <rPh sb="2" eb="3">
      <t>ゾウ</t>
    </rPh>
    <phoneticPr fontId="2"/>
  </si>
  <si>
    <t>太陽神の瞳</t>
    <rPh sb="0" eb="3">
      <t>タイヨウシン</t>
    </rPh>
    <rPh sb="4" eb="5">
      <t>ヒトミ</t>
    </rPh>
    <phoneticPr fontId="2"/>
  </si>
  <si>
    <t>アレスの兜</t>
    <rPh sb="4" eb="5">
      <t>カブト</t>
    </rPh>
    <phoneticPr fontId="2"/>
  </si>
  <si>
    <t>ウリエルの盃</t>
    <rPh sb="5" eb="6">
      <t>サカズキ</t>
    </rPh>
    <phoneticPr fontId="2"/>
  </si>
  <si>
    <t>カドゥケウスのブローチ</t>
    <phoneticPr fontId="2"/>
  </si>
  <si>
    <t>ゴルゴンの盾</t>
    <rPh sb="5" eb="6">
      <t>タテ</t>
    </rPh>
    <phoneticPr fontId="2"/>
  </si>
  <si>
    <t>コルヌコピアの恵み</t>
    <rPh sb="7" eb="8">
      <t>メグ</t>
    </rPh>
    <phoneticPr fontId="2"/>
  </si>
  <si>
    <t>トライデント</t>
    <phoneticPr fontId="2"/>
  </si>
  <si>
    <t>ヘルメスの靴</t>
    <rPh sb="5" eb="6">
      <t>クツ</t>
    </rPh>
    <phoneticPr fontId="2"/>
  </si>
  <si>
    <t>月光泡影</t>
    <rPh sb="0" eb="2">
      <t>ゲッコウ</t>
    </rPh>
    <rPh sb="2" eb="3">
      <t>アワ</t>
    </rPh>
    <rPh sb="3" eb="4">
      <t>カゲ</t>
    </rPh>
    <phoneticPr fontId="2"/>
  </si>
  <si>
    <t>神々のブーツ</t>
    <rPh sb="0" eb="2">
      <t>カミガミ</t>
    </rPh>
    <phoneticPr fontId="2"/>
  </si>
  <si>
    <t>神罰の枷</t>
    <rPh sb="0" eb="2">
      <t>シンバツ</t>
    </rPh>
    <rPh sb="3" eb="4">
      <t>カセ</t>
    </rPh>
    <phoneticPr fontId="2"/>
  </si>
  <si>
    <t>世界樹のハープ</t>
    <rPh sb="0" eb="3">
      <t>セカイジュ</t>
    </rPh>
    <phoneticPr fontId="2"/>
  </si>
  <si>
    <t>天翔弓</t>
    <rPh sb="0" eb="2">
      <t>テンショウ</t>
    </rPh>
    <rPh sb="2" eb="3">
      <t>ユミ</t>
    </rPh>
    <phoneticPr fontId="2"/>
  </si>
  <si>
    <t>神々の腕輪</t>
    <rPh sb="0" eb="2">
      <t>カミガミ</t>
    </rPh>
    <rPh sb="3" eb="5">
      <t>ウデワ</t>
    </rPh>
    <phoneticPr fontId="2"/>
  </si>
  <si>
    <t>Common短剣</t>
    <rPh sb="6" eb="8">
      <t>タンケン</t>
    </rPh>
    <phoneticPr fontId="2"/>
  </si>
  <si>
    <t>Common大剣</t>
    <rPh sb="6" eb="8">
      <t>タイケン</t>
    </rPh>
    <phoneticPr fontId="2"/>
  </si>
  <si>
    <t>Commonメイス</t>
    <phoneticPr fontId="2"/>
  </si>
  <si>
    <t>Common杖</t>
    <rPh sb="6" eb="7">
      <t>ツエ</t>
    </rPh>
    <phoneticPr fontId="2"/>
  </si>
  <si>
    <t>Common短剣</t>
    <phoneticPr fontId="2"/>
  </si>
  <si>
    <t>Rare短剣</t>
    <rPh sb="4" eb="6">
      <t>タンケン</t>
    </rPh>
    <phoneticPr fontId="2"/>
  </si>
  <si>
    <t>Rare大剣</t>
    <rPh sb="4" eb="6">
      <t>タイケン</t>
    </rPh>
    <phoneticPr fontId="2"/>
  </si>
  <si>
    <t>Rareメイス</t>
    <phoneticPr fontId="2"/>
  </si>
  <si>
    <t>Rare杖</t>
    <rPh sb="4" eb="5">
      <t>ツエ</t>
    </rPh>
    <phoneticPr fontId="2"/>
  </si>
  <si>
    <t>Unique短剣</t>
    <rPh sb="6" eb="8">
      <t>タンケン</t>
    </rPh>
    <phoneticPr fontId="2"/>
  </si>
  <si>
    <t>Unique大剣</t>
    <rPh sb="6" eb="8">
      <t>タイケン</t>
    </rPh>
    <phoneticPr fontId="2"/>
  </si>
  <si>
    <t>Uniqueメイス</t>
    <phoneticPr fontId="2"/>
  </si>
  <si>
    <t>Unique杖</t>
    <rPh sb="6" eb="7">
      <t>ツエ</t>
    </rPh>
    <phoneticPr fontId="2"/>
  </si>
  <si>
    <t>Legendary短剣</t>
    <rPh sb="9" eb="11">
      <t>タンケン</t>
    </rPh>
    <phoneticPr fontId="2"/>
  </si>
  <si>
    <t>Legendary大剣</t>
    <rPh sb="9" eb="11">
      <t>タイケン</t>
    </rPh>
    <phoneticPr fontId="2"/>
  </si>
  <si>
    <t>Legendaryメイス</t>
    <phoneticPr fontId="2"/>
  </si>
  <si>
    <t>Legendary杖</t>
    <rPh sb="9" eb="10">
      <t>ツエ</t>
    </rPh>
    <phoneticPr fontId="2"/>
  </si>
  <si>
    <t>小麦袋</t>
    <rPh sb="0" eb="2">
      <t>コムギ</t>
    </rPh>
    <rPh sb="2" eb="3">
      <t>ブクロ</t>
    </rPh>
    <phoneticPr fontId="2"/>
  </si>
  <si>
    <t>硬貨の入った銅の盃</t>
    <rPh sb="0" eb="2">
      <t>コウカ</t>
    </rPh>
    <rPh sb="3" eb="4">
      <t>ハイ</t>
    </rPh>
    <rPh sb="6" eb="7">
      <t>ドウ</t>
    </rPh>
    <rPh sb="8" eb="9">
      <t>サカズキ</t>
    </rPh>
    <phoneticPr fontId="2"/>
  </si>
  <si>
    <t>Head</t>
    <phoneticPr fontId="2"/>
  </si>
  <si>
    <t>Body</t>
    <phoneticPr fontId="2"/>
  </si>
  <si>
    <t>Shoes</t>
    <phoneticPr fontId="2"/>
  </si>
  <si>
    <t>頭装備</t>
    <rPh sb="0" eb="3">
      <t>アタマソウビ</t>
    </rPh>
    <phoneticPr fontId="2"/>
  </si>
  <si>
    <t>体装備</t>
    <rPh sb="0" eb="3">
      <t>カラダソウビ</t>
    </rPh>
    <phoneticPr fontId="2"/>
  </si>
  <si>
    <t>靴装備</t>
    <rPh sb="0" eb="3">
      <t>クツソウビ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</si>
</sst>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游ゴシック"/>
      <family val="2"/>
      <charset val="1"/>
    </font>
    <font>
      <sz val="11"/>
      <color rgb="FF000000"/>
      <name val="游ゴシック"/>
      <family val="3"/>
      <charset val="128"/>
    </font>
    <font>
      <sz val="6"/>
      <name val="ＭＳ Ｐゴシック"/>
      <family val="3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0" xfId="0" applyFo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"/>
  <sheetViews>
    <sheetView zoomScaleNormal="100" workbookViewId="0">
      <selection activeCell="C20" sqref="C20"/>
    </sheetView>
  </sheetViews>
  <sheetFormatPr defaultRowHeight="18.75" x14ac:dyDescent="0.4"/>
  <cols>
    <col min="1" max="1" width="4.625" customWidth="1"/>
    <col min="2" max="2" width="17.25" customWidth="1"/>
    <col min="3" max="4" width="8.625" customWidth="1"/>
    <col min="5" max="5" width="13.375" customWidth="1"/>
    <col min="6" max="6" width="17.625" customWidth="1"/>
    <col min="7" max="7" width="14.625" customWidth="1"/>
    <col min="8" max="8" width="13" customWidth="1"/>
    <col min="9" max="1025" width="8.625" customWidth="1"/>
  </cols>
  <sheetData>
    <row r="1" spans="1:9" ht="25.5" customHeight="1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13</v>
      </c>
      <c r="H1" t="s">
        <v>14</v>
      </c>
      <c r="I1" t="s">
        <v>15</v>
      </c>
    </row>
    <row r="2" spans="1:9" ht="25.5" customHeight="1" x14ac:dyDescent="0.4">
      <c r="A2">
        <v>0</v>
      </c>
      <c r="B2" t="s">
        <v>73</v>
      </c>
      <c r="C2">
        <v>1</v>
      </c>
      <c r="D2">
        <v>1</v>
      </c>
      <c r="E2">
        <v>2</v>
      </c>
      <c r="F2" t="s">
        <v>77</v>
      </c>
      <c r="G2">
        <v>4</v>
      </c>
      <c r="H2" t="str">
        <f t="shared" ref="H2:H5" si="0">IF(G2=0,"Helmet",IF(G2=1,"Armor",IF(G2=2,"Gauntlet",IF(G2=3,"Shoes",IF(G2=4,"Weapon","None")))))</f>
        <v>Weapon</v>
      </c>
      <c r="I2">
        <v>50</v>
      </c>
    </row>
    <row r="3" spans="1:9" ht="25.5" customHeight="1" x14ac:dyDescent="0.4">
      <c r="A3">
        <v>1</v>
      </c>
      <c r="B3" t="s">
        <v>74</v>
      </c>
      <c r="C3">
        <v>1</v>
      </c>
      <c r="D3">
        <v>3</v>
      </c>
      <c r="E3">
        <v>2</v>
      </c>
      <c r="F3" t="s">
        <v>74</v>
      </c>
      <c r="G3">
        <v>4</v>
      </c>
      <c r="H3" t="str">
        <f t="shared" si="0"/>
        <v>Weapon</v>
      </c>
      <c r="I3">
        <v>50</v>
      </c>
    </row>
    <row r="4" spans="1:9" ht="25.5" customHeight="1" x14ac:dyDescent="0.4">
      <c r="A4">
        <v>2</v>
      </c>
      <c r="B4" t="s">
        <v>75</v>
      </c>
      <c r="C4">
        <v>1</v>
      </c>
      <c r="D4">
        <v>2</v>
      </c>
      <c r="E4">
        <v>2</v>
      </c>
      <c r="F4" t="s">
        <v>75</v>
      </c>
      <c r="G4">
        <v>4</v>
      </c>
      <c r="H4" t="str">
        <f t="shared" si="0"/>
        <v>Weapon</v>
      </c>
      <c r="I4">
        <v>50</v>
      </c>
    </row>
    <row r="5" spans="1:9" ht="24.75" customHeight="1" x14ac:dyDescent="0.4">
      <c r="A5">
        <v>3</v>
      </c>
      <c r="B5" t="s">
        <v>76</v>
      </c>
      <c r="C5">
        <v>1</v>
      </c>
      <c r="D5">
        <v>2</v>
      </c>
      <c r="E5">
        <v>2</v>
      </c>
      <c r="F5" t="s">
        <v>76</v>
      </c>
      <c r="G5">
        <v>4</v>
      </c>
      <c r="H5" t="str">
        <f t="shared" si="0"/>
        <v>Weapon</v>
      </c>
      <c r="I5">
        <v>50</v>
      </c>
    </row>
    <row r="6" spans="1:9" ht="24.75" customHeight="1" x14ac:dyDescent="0.4">
      <c r="A6">
        <v>4</v>
      </c>
      <c r="B6" t="s">
        <v>90</v>
      </c>
      <c r="C6">
        <v>1</v>
      </c>
      <c r="D6">
        <v>1</v>
      </c>
      <c r="E6">
        <v>20</v>
      </c>
      <c r="F6" t="s">
        <v>16</v>
      </c>
      <c r="G6">
        <v>5</v>
      </c>
      <c r="H6" t="str">
        <f t="shared" ref="H6:H17" si="1">IF(G6=0,"Helmet",IF(G6=1,"Armor",IF(G6=2,"Gauntlet",IF(G6=3,"Shoes",IF(G6=4,"Weapon","None")))))</f>
        <v>None</v>
      </c>
      <c r="I6">
        <v>5</v>
      </c>
    </row>
    <row r="7" spans="1:9" ht="25.5" customHeight="1" x14ac:dyDescent="0.4">
      <c r="A7">
        <v>5</v>
      </c>
      <c r="B7" t="s">
        <v>17</v>
      </c>
      <c r="C7">
        <v>1</v>
      </c>
      <c r="D7">
        <v>2</v>
      </c>
      <c r="E7">
        <v>5</v>
      </c>
      <c r="F7" t="s">
        <v>17</v>
      </c>
      <c r="G7">
        <v>5</v>
      </c>
      <c r="H7" t="str">
        <f t="shared" si="1"/>
        <v>None</v>
      </c>
      <c r="I7">
        <v>10</v>
      </c>
    </row>
    <row r="8" spans="1:9" ht="25.5" customHeight="1" x14ac:dyDescent="0.4">
      <c r="A8">
        <v>6</v>
      </c>
      <c r="B8" t="s">
        <v>18</v>
      </c>
      <c r="C8">
        <v>1</v>
      </c>
      <c r="D8">
        <v>1</v>
      </c>
      <c r="E8">
        <v>10</v>
      </c>
      <c r="F8" t="s">
        <v>18</v>
      </c>
      <c r="G8">
        <v>5</v>
      </c>
      <c r="H8" t="str">
        <f t="shared" si="1"/>
        <v>None</v>
      </c>
      <c r="I8">
        <v>3</v>
      </c>
    </row>
    <row r="9" spans="1:9" ht="25.5" customHeight="1" x14ac:dyDescent="0.4">
      <c r="A9">
        <v>7</v>
      </c>
      <c r="B9" t="s">
        <v>19</v>
      </c>
      <c r="C9">
        <v>1</v>
      </c>
      <c r="D9">
        <v>1</v>
      </c>
      <c r="E9">
        <v>8</v>
      </c>
      <c r="F9" t="s">
        <v>19</v>
      </c>
      <c r="G9">
        <v>5</v>
      </c>
      <c r="H9" t="str">
        <f t="shared" si="1"/>
        <v>None</v>
      </c>
      <c r="I9">
        <v>20</v>
      </c>
    </row>
    <row r="10" spans="1:9" ht="25.5" customHeight="1" x14ac:dyDescent="0.4">
      <c r="A10">
        <v>8</v>
      </c>
      <c r="B10" t="s">
        <v>20</v>
      </c>
      <c r="C10">
        <v>1</v>
      </c>
      <c r="D10">
        <v>1</v>
      </c>
      <c r="E10">
        <v>8</v>
      </c>
      <c r="F10" t="s">
        <v>20</v>
      </c>
      <c r="G10">
        <v>5</v>
      </c>
      <c r="H10" t="str">
        <f t="shared" si="1"/>
        <v>None</v>
      </c>
      <c r="I10">
        <v>25</v>
      </c>
    </row>
    <row r="11" spans="1:9" ht="25.5" customHeight="1" x14ac:dyDescent="0.4">
      <c r="A11">
        <v>9</v>
      </c>
      <c r="B11" t="s">
        <v>21</v>
      </c>
      <c r="C11">
        <v>1</v>
      </c>
      <c r="D11">
        <v>1</v>
      </c>
      <c r="E11">
        <v>15</v>
      </c>
      <c r="F11" t="s">
        <v>21</v>
      </c>
      <c r="G11">
        <v>5</v>
      </c>
      <c r="H11" t="str">
        <f t="shared" si="1"/>
        <v>None</v>
      </c>
      <c r="I11">
        <v>5</v>
      </c>
    </row>
    <row r="12" spans="1:9" ht="25.5" customHeight="1" x14ac:dyDescent="0.4">
      <c r="A12">
        <v>10</v>
      </c>
      <c r="B12" t="s">
        <v>22</v>
      </c>
      <c r="C12">
        <v>2</v>
      </c>
      <c r="D12">
        <v>2</v>
      </c>
      <c r="E12">
        <v>3</v>
      </c>
      <c r="F12" t="s">
        <v>22</v>
      </c>
      <c r="G12">
        <v>5</v>
      </c>
      <c r="H12" t="str">
        <f t="shared" si="1"/>
        <v>None</v>
      </c>
      <c r="I12">
        <v>10</v>
      </c>
    </row>
    <row r="13" spans="1:9" ht="25.5" customHeight="1" x14ac:dyDescent="0.4">
      <c r="A13">
        <v>11</v>
      </c>
      <c r="B13" t="s">
        <v>23</v>
      </c>
      <c r="C13">
        <v>1</v>
      </c>
      <c r="D13">
        <v>1</v>
      </c>
      <c r="E13">
        <v>3</v>
      </c>
      <c r="F13" t="s">
        <v>23</v>
      </c>
      <c r="G13">
        <v>5</v>
      </c>
      <c r="H13" t="str">
        <f t="shared" si="1"/>
        <v>None</v>
      </c>
      <c r="I13">
        <v>30</v>
      </c>
    </row>
    <row r="14" spans="1:9" ht="25.5" customHeight="1" x14ac:dyDescent="0.4">
      <c r="A14">
        <v>12</v>
      </c>
      <c r="B14" t="s">
        <v>91</v>
      </c>
      <c r="C14">
        <v>1</v>
      </c>
      <c r="D14">
        <v>1</v>
      </c>
      <c r="E14">
        <v>2</v>
      </c>
      <c r="F14" t="s">
        <v>91</v>
      </c>
      <c r="G14">
        <v>5</v>
      </c>
      <c r="H14" t="str">
        <f t="shared" si="1"/>
        <v>None</v>
      </c>
      <c r="I14">
        <v>40</v>
      </c>
    </row>
    <row r="15" spans="1:9" ht="25.5" customHeight="1" x14ac:dyDescent="0.4">
      <c r="A15">
        <v>13</v>
      </c>
      <c r="B15" t="s">
        <v>24</v>
      </c>
      <c r="C15">
        <v>1</v>
      </c>
      <c r="D15">
        <v>1</v>
      </c>
      <c r="E15">
        <v>2</v>
      </c>
      <c r="F15" t="s">
        <v>24</v>
      </c>
      <c r="G15">
        <v>5</v>
      </c>
      <c r="H15" t="str">
        <f t="shared" si="1"/>
        <v>None</v>
      </c>
      <c r="I15">
        <v>35</v>
      </c>
    </row>
    <row r="16" spans="1:9" ht="25.5" customHeight="1" x14ac:dyDescent="0.4">
      <c r="A16">
        <v>14</v>
      </c>
      <c r="B16" t="s">
        <v>25</v>
      </c>
      <c r="C16">
        <v>1</v>
      </c>
      <c r="D16">
        <v>1</v>
      </c>
      <c r="E16">
        <v>1</v>
      </c>
      <c r="F16" t="s">
        <v>25</v>
      </c>
      <c r="G16">
        <v>5</v>
      </c>
      <c r="H16" t="str">
        <f t="shared" si="1"/>
        <v>None</v>
      </c>
      <c r="I16">
        <v>5</v>
      </c>
    </row>
    <row r="17" spans="1:9" ht="25.5" customHeight="1" x14ac:dyDescent="0.4">
      <c r="A17">
        <v>15</v>
      </c>
      <c r="B17" t="s">
        <v>26</v>
      </c>
      <c r="C17">
        <v>1</v>
      </c>
      <c r="D17">
        <v>1</v>
      </c>
      <c r="E17">
        <v>1</v>
      </c>
      <c r="F17" t="s">
        <v>26</v>
      </c>
      <c r="G17">
        <v>5</v>
      </c>
      <c r="H17" t="str">
        <f t="shared" si="1"/>
        <v>None</v>
      </c>
      <c r="I17">
        <v>50</v>
      </c>
    </row>
    <row r="18" spans="1:9" ht="25.5" customHeight="1" x14ac:dyDescent="0.4">
      <c r="A18">
        <v>16</v>
      </c>
      <c r="B18" t="s">
        <v>27</v>
      </c>
      <c r="C18">
        <v>1</v>
      </c>
      <c r="D18">
        <v>2</v>
      </c>
      <c r="E18">
        <f>100-SUM(E2:E17)</f>
        <v>14</v>
      </c>
      <c r="F18" t="s">
        <v>27</v>
      </c>
      <c r="G18">
        <v>5</v>
      </c>
      <c r="H18" t="str">
        <f>IF(G18=0,"Helmet",IF(G18=1,"Armor",IF(G18=2,"Gauntlet",IF(G18=3,"Shoes",IF(G18=4,"Weapon","None")))))</f>
        <v>None</v>
      </c>
      <c r="I18">
        <v>50</v>
      </c>
    </row>
    <row r="19" spans="1:9" ht="25.5" customHeight="1" x14ac:dyDescent="0.4"/>
    <row r="20" spans="1:9" ht="25.5" customHeight="1" x14ac:dyDescent="0.4"/>
    <row r="21" spans="1:9" ht="25.5" customHeight="1" x14ac:dyDescent="0.4"/>
    <row r="22" spans="1:9" ht="25.5" customHeight="1" x14ac:dyDescent="0.4"/>
    <row r="23" spans="1:9" ht="25.5" customHeight="1" x14ac:dyDescent="0.4"/>
    <row r="24" spans="1:9" ht="25.5" customHeight="1" x14ac:dyDescent="0.4"/>
    <row r="25" spans="1:9" ht="25.5" customHeight="1" x14ac:dyDescent="0.4"/>
    <row r="26" spans="1:9" ht="25.5" customHeight="1" x14ac:dyDescent="0.4"/>
    <row r="27" spans="1:9" ht="25.5" customHeight="1" x14ac:dyDescent="0.4"/>
    <row r="28" spans="1:9" ht="25.5" customHeight="1" x14ac:dyDescent="0.4"/>
    <row r="29" spans="1:9" ht="25.5" customHeight="1" x14ac:dyDescent="0.4"/>
    <row r="30" spans="1:9" ht="25.5" customHeight="1" x14ac:dyDescent="0.4"/>
    <row r="31" spans="1:9" ht="25.5" customHeight="1" x14ac:dyDescent="0.4"/>
    <row r="32" spans="1:9" ht="25.5" customHeight="1" x14ac:dyDescent="0.4"/>
    <row r="33" ht="25.5" customHeight="1" x14ac:dyDescent="0.4"/>
    <row r="34" ht="25.5" customHeight="1" x14ac:dyDescent="0.4"/>
    <row r="35" ht="25.5" customHeight="1" x14ac:dyDescent="0.4"/>
    <row r="36" ht="25.5" customHeight="1" x14ac:dyDescent="0.4"/>
    <row r="37" ht="25.5" customHeight="1" x14ac:dyDescent="0.4"/>
    <row r="38" ht="25.5" customHeight="1" x14ac:dyDescent="0.4"/>
    <row r="39" ht="25.5" customHeight="1" x14ac:dyDescent="0.4"/>
    <row r="40" ht="25.5" customHeight="1" x14ac:dyDescent="0.4"/>
    <row r="41" ht="25.5" customHeight="1" x14ac:dyDescent="0.4"/>
    <row r="42" ht="25.5" customHeight="1" x14ac:dyDescent="0.4"/>
    <row r="43" ht="25.5" customHeight="1" x14ac:dyDescent="0.4"/>
    <row r="44" ht="25.5" customHeight="1" x14ac:dyDescent="0.4"/>
    <row r="45" ht="25.5" customHeight="1" x14ac:dyDescent="0.4"/>
    <row r="46" ht="25.5" customHeight="1" x14ac:dyDescent="0.4"/>
    <row r="47" ht="25.5" customHeight="1" x14ac:dyDescent="0.4"/>
    <row r="48" ht="25.5" customHeight="1" x14ac:dyDescent="0.4"/>
    <row r="49" ht="25.5" customHeight="1" x14ac:dyDescent="0.4"/>
    <row r="50" ht="25.5" customHeight="1" x14ac:dyDescent="0.4"/>
    <row r="51" ht="25.5" customHeight="1" x14ac:dyDescent="0.4"/>
    <row r="52" ht="25.5" customHeight="1" x14ac:dyDescent="0.4"/>
    <row r="53" ht="25.5" customHeight="1" x14ac:dyDescent="0.4"/>
    <row r="54" ht="25.5" customHeight="1" x14ac:dyDescent="0.4"/>
    <row r="55" ht="25.5" customHeight="1" x14ac:dyDescent="0.4"/>
    <row r="56" ht="25.5" customHeight="1" x14ac:dyDescent="0.4"/>
    <row r="57" ht="25.5" customHeight="1" x14ac:dyDescent="0.4"/>
    <row r="58" ht="25.5" customHeight="1" x14ac:dyDescent="0.4"/>
    <row r="59" ht="25.5" customHeight="1" x14ac:dyDescent="0.4"/>
    <row r="60" ht="25.5" customHeight="1" x14ac:dyDescent="0.4"/>
    <row r="61" ht="25.5" customHeight="1" x14ac:dyDescent="0.4"/>
    <row r="62" ht="25.5" customHeight="1" x14ac:dyDescent="0.4"/>
    <row r="63" ht="25.5" customHeight="1" x14ac:dyDescent="0.4"/>
    <row r="64" ht="25.5" customHeight="1" x14ac:dyDescent="0.4"/>
    <row r="65" ht="25.5" customHeight="1" x14ac:dyDescent="0.4"/>
    <row r="66" ht="25.5" customHeight="1" x14ac:dyDescent="0.4"/>
    <row r="67" ht="25.5" customHeight="1" x14ac:dyDescent="0.4"/>
    <row r="68" ht="25.5" customHeight="1" x14ac:dyDescent="0.4"/>
    <row r="69" ht="25.5" customHeight="1" x14ac:dyDescent="0.4"/>
    <row r="70" ht="25.5" customHeight="1" x14ac:dyDescent="0.4"/>
    <row r="71" ht="25.5" customHeight="1" x14ac:dyDescent="0.4"/>
    <row r="72" ht="25.5" customHeight="1" x14ac:dyDescent="0.4"/>
    <row r="73" ht="25.5" customHeight="1" x14ac:dyDescent="0.4"/>
    <row r="74" ht="25.5" customHeight="1" x14ac:dyDescent="0.4"/>
    <row r="75" ht="25.5" customHeight="1" x14ac:dyDescent="0.4"/>
    <row r="76" ht="25.5" customHeight="1" x14ac:dyDescent="0.4"/>
    <row r="77" ht="25.5" customHeight="1" x14ac:dyDescent="0.4"/>
    <row r="78" ht="25.5" customHeight="1" x14ac:dyDescent="0.4"/>
    <row r="79" ht="25.5" customHeight="1" x14ac:dyDescent="0.4"/>
    <row r="80" ht="25.5" customHeight="1" x14ac:dyDescent="0.4"/>
    <row r="81" ht="25.5" customHeight="1" x14ac:dyDescent="0.4"/>
    <row r="82" ht="25.5" customHeight="1" x14ac:dyDescent="0.4"/>
    <row r="83" ht="25.5" customHeight="1" x14ac:dyDescent="0.4"/>
    <row r="84" ht="25.5" customHeight="1" x14ac:dyDescent="0.4"/>
    <row r="85" ht="25.5" customHeight="1" x14ac:dyDescent="0.4"/>
    <row r="86" ht="25.5" customHeight="1" x14ac:dyDescent="0.4"/>
    <row r="87" ht="25.5" customHeight="1" x14ac:dyDescent="0.4"/>
    <row r="88" ht="25.5" customHeight="1" x14ac:dyDescent="0.4"/>
    <row r="89" ht="25.5" customHeight="1" x14ac:dyDescent="0.4"/>
    <row r="90" ht="25.5" customHeight="1" x14ac:dyDescent="0.4"/>
    <row r="91" ht="25.5" customHeight="1" x14ac:dyDescent="0.4"/>
    <row r="92" ht="25.5" customHeight="1" x14ac:dyDescent="0.4"/>
    <row r="93" ht="25.5" customHeight="1" x14ac:dyDescent="0.4"/>
    <row r="94" ht="25.5" customHeight="1" x14ac:dyDescent="0.4"/>
    <row r="95" ht="25.5" customHeight="1" x14ac:dyDescent="0.4"/>
    <row r="96" ht="25.5" customHeight="1" x14ac:dyDescent="0.4"/>
    <row r="97" ht="25.5" customHeight="1" x14ac:dyDescent="0.4"/>
    <row r="98" ht="25.5" customHeight="1" x14ac:dyDescent="0.4"/>
    <row r="99" ht="25.5" customHeight="1" x14ac:dyDescent="0.4"/>
    <row r="100" ht="25.5" customHeight="1" x14ac:dyDescent="0.4"/>
  </sheetData>
  <phoneticPr fontId="2"/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0"/>
  <sheetViews>
    <sheetView tabSelected="1" zoomScaleNormal="100" workbookViewId="0">
      <selection activeCell="L28" sqref="L28"/>
    </sheetView>
  </sheetViews>
  <sheetFormatPr defaultRowHeight="18.75" x14ac:dyDescent="0.4"/>
  <cols>
    <col min="1" max="1" width="8.625" customWidth="1"/>
    <col min="2" max="2" width="19.875" customWidth="1"/>
    <col min="3" max="4" width="8.625" customWidth="1"/>
    <col min="5" max="5" width="10.375" customWidth="1"/>
    <col min="6" max="6" width="19.625" customWidth="1"/>
    <col min="7" max="7" width="10.125" customWidth="1"/>
    <col min="8" max="8" width="12.75" customWidth="1"/>
    <col min="9" max="1025" width="8.625" customWidth="1"/>
  </cols>
  <sheetData>
    <row r="1" spans="1:9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13</v>
      </c>
      <c r="H1" t="s">
        <v>14</v>
      </c>
      <c r="I1" t="s">
        <v>15</v>
      </c>
    </row>
    <row r="2" spans="1:9" x14ac:dyDescent="0.4">
      <c r="A2">
        <v>0</v>
      </c>
      <c r="B2" t="s">
        <v>92</v>
      </c>
      <c r="C2">
        <v>1</v>
      </c>
      <c r="D2">
        <v>1</v>
      </c>
      <c r="E2">
        <v>2</v>
      </c>
      <c r="F2" t="s">
        <v>95</v>
      </c>
      <c r="G2">
        <v>0</v>
      </c>
      <c r="H2" t="str">
        <f t="shared" ref="H2:H4" si="0">IF(G2=0,"Helmet",IF(G2=1,"Armor",IF(G2=2,"Gauntlet",IF(G2=3,"Shoes",IF(G2=4,"Weapon","None")))))</f>
        <v>Helmet</v>
      </c>
      <c r="I2">
        <v>200</v>
      </c>
    </row>
    <row r="3" spans="1:9" x14ac:dyDescent="0.4">
      <c r="A3">
        <v>1</v>
      </c>
      <c r="B3" t="s">
        <v>93</v>
      </c>
      <c r="C3">
        <v>1</v>
      </c>
      <c r="D3">
        <v>1</v>
      </c>
      <c r="E3">
        <v>2</v>
      </c>
      <c r="F3" t="s">
        <v>96</v>
      </c>
      <c r="G3">
        <v>1</v>
      </c>
      <c r="H3" t="str">
        <f t="shared" si="0"/>
        <v>Armor</v>
      </c>
      <c r="I3">
        <v>200</v>
      </c>
    </row>
    <row r="4" spans="1:9" x14ac:dyDescent="0.4">
      <c r="A4">
        <v>2</v>
      </c>
      <c r="B4" t="s">
        <v>94</v>
      </c>
      <c r="C4">
        <v>1</v>
      </c>
      <c r="D4">
        <v>1</v>
      </c>
      <c r="E4">
        <v>2</v>
      </c>
      <c r="F4" t="s">
        <v>97</v>
      </c>
      <c r="G4">
        <v>3</v>
      </c>
      <c r="H4" t="str">
        <f t="shared" si="0"/>
        <v>Shoes</v>
      </c>
      <c r="I4">
        <v>200</v>
      </c>
    </row>
    <row r="5" spans="1:9" x14ac:dyDescent="0.4">
      <c r="A5">
        <v>3</v>
      </c>
      <c r="B5" t="s">
        <v>78</v>
      </c>
      <c r="C5">
        <v>1</v>
      </c>
      <c r="D5">
        <v>1</v>
      </c>
      <c r="E5">
        <v>2</v>
      </c>
      <c r="F5" t="s">
        <v>78</v>
      </c>
      <c r="G5">
        <v>4</v>
      </c>
      <c r="H5" t="str">
        <f t="shared" ref="H5:H8" si="1">IF(G5=0,"Helmet",IF(G5=1,"Armor",IF(G5=2,"Gauntlet",IF(G5=3,"Shoes",IF(G5=4,"Weapon","None")))))</f>
        <v>Weapon</v>
      </c>
      <c r="I5">
        <v>200</v>
      </c>
    </row>
    <row r="6" spans="1:9" x14ac:dyDescent="0.4">
      <c r="A6">
        <v>4</v>
      </c>
      <c r="B6" t="s">
        <v>79</v>
      </c>
      <c r="C6">
        <v>1</v>
      </c>
      <c r="D6">
        <v>3</v>
      </c>
      <c r="E6">
        <v>2</v>
      </c>
      <c r="F6" t="s">
        <v>79</v>
      </c>
      <c r="G6">
        <v>4</v>
      </c>
      <c r="H6" t="str">
        <f t="shared" si="1"/>
        <v>Weapon</v>
      </c>
      <c r="I6">
        <v>200</v>
      </c>
    </row>
    <row r="7" spans="1:9" x14ac:dyDescent="0.4">
      <c r="A7">
        <v>5</v>
      </c>
      <c r="B7" t="s">
        <v>80</v>
      </c>
      <c r="C7">
        <v>1</v>
      </c>
      <c r="D7">
        <v>2</v>
      </c>
      <c r="E7">
        <v>2</v>
      </c>
      <c r="F7" t="s">
        <v>80</v>
      </c>
      <c r="G7">
        <v>4</v>
      </c>
      <c r="H7" t="str">
        <f t="shared" si="1"/>
        <v>Weapon</v>
      </c>
      <c r="I7">
        <v>200</v>
      </c>
    </row>
    <row r="8" spans="1:9" x14ac:dyDescent="0.4">
      <c r="A8">
        <v>6</v>
      </c>
      <c r="B8" t="s">
        <v>81</v>
      </c>
      <c r="C8">
        <v>1</v>
      </c>
      <c r="D8">
        <v>2</v>
      </c>
      <c r="E8">
        <v>2</v>
      </c>
      <c r="F8" t="s">
        <v>81</v>
      </c>
      <c r="G8">
        <v>4</v>
      </c>
      <c r="H8" t="str">
        <f t="shared" si="1"/>
        <v>Weapon</v>
      </c>
      <c r="I8">
        <v>200</v>
      </c>
    </row>
    <row r="9" spans="1:9" x14ac:dyDescent="0.4">
      <c r="A9">
        <v>7</v>
      </c>
      <c r="B9" t="s">
        <v>28</v>
      </c>
      <c r="C9">
        <v>1</v>
      </c>
      <c r="D9">
        <v>1</v>
      </c>
      <c r="E9">
        <v>2</v>
      </c>
      <c r="F9" t="s">
        <v>28</v>
      </c>
      <c r="G9">
        <v>5</v>
      </c>
      <c r="H9" t="str">
        <f t="shared" ref="H9:H30" si="2">IF(G9=0,"Helmet",IF(G9=1,"Armor",IF(G9=2,"Gauntlet",IF(G9=3,"Shoes",IF(G9=4,"Weapon","None")))))</f>
        <v>None</v>
      </c>
      <c r="I9">
        <v>150</v>
      </c>
    </row>
    <row r="10" spans="1:9" x14ac:dyDescent="0.4">
      <c r="A10">
        <v>8</v>
      </c>
      <c r="B10" t="s">
        <v>29</v>
      </c>
      <c r="C10">
        <v>1</v>
      </c>
      <c r="D10">
        <v>1</v>
      </c>
      <c r="E10">
        <v>2</v>
      </c>
      <c r="F10" t="s">
        <v>29</v>
      </c>
      <c r="G10">
        <v>5</v>
      </c>
      <c r="H10" t="str">
        <f t="shared" si="2"/>
        <v>None</v>
      </c>
      <c r="I10">
        <v>150</v>
      </c>
    </row>
    <row r="11" spans="1:9" x14ac:dyDescent="0.4">
      <c r="A11">
        <v>9</v>
      </c>
      <c r="B11" t="s">
        <v>30</v>
      </c>
      <c r="C11">
        <v>1</v>
      </c>
      <c r="D11">
        <v>1</v>
      </c>
      <c r="E11">
        <v>2</v>
      </c>
      <c r="F11" t="s">
        <v>30</v>
      </c>
      <c r="G11">
        <v>5</v>
      </c>
      <c r="H11" t="str">
        <f t="shared" si="2"/>
        <v>None</v>
      </c>
      <c r="I11">
        <v>150</v>
      </c>
    </row>
    <row r="12" spans="1:9" x14ac:dyDescent="0.4">
      <c r="A12">
        <v>10</v>
      </c>
      <c r="B12" t="s">
        <v>31</v>
      </c>
      <c r="C12">
        <v>1</v>
      </c>
      <c r="D12">
        <v>1</v>
      </c>
      <c r="E12">
        <v>2</v>
      </c>
      <c r="F12" t="s">
        <v>31</v>
      </c>
      <c r="G12">
        <v>5</v>
      </c>
      <c r="H12" t="str">
        <f t="shared" si="2"/>
        <v>None</v>
      </c>
      <c r="I12">
        <v>150</v>
      </c>
    </row>
    <row r="13" spans="1:9" x14ac:dyDescent="0.4">
      <c r="A13">
        <v>11</v>
      </c>
      <c r="B13" t="s">
        <v>32</v>
      </c>
      <c r="C13">
        <v>1</v>
      </c>
      <c r="D13">
        <v>1</v>
      </c>
      <c r="E13">
        <v>2</v>
      </c>
      <c r="F13" t="s">
        <v>32</v>
      </c>
      <c r="G13">
        <v>5</v>
      </c>
      <c r="H13" t="str">
        <f t="shared" si="2"/>
        <v>None</v>
      </c>
      <c r="I13">
        <v>200</v>
      </c>
    </row>
    <row r="14" spans="1:9" x14ac:dyDescent="0.4">
      <c r="A14">
        <v>12</v>
      </c>
      <c r="B14" t="s">
        <v>33</v>
      </c>
      <c r="C14">
        <v>1</v>
      </c>
      <c r="D14">
        <v>1</v>
      </c>
      <c r="E14">
        <v>2</v>
      </c>
      <c r="F14" t="s">
        <v>33</v>
      </c>
      <c r="G14">
        <v>5</v>
      </c>
      <c r="H14" t="str">
        <f t="shared" si="2"/>
        <v>None</v>
      </c>
      <c r="I14">
        <v>230</v>
      </c>
    </row>
    <row r="15" spans="1:9" x14ac:dyDescent="0.4">
      <c r="A15">
        <v>13</v>
      </c>
      <c r="B15" t="s">
        <v>34</v>
      </c>
      <c r="C15">
        <v>1</v>
      </c>
      <c r="D15">
        <v>1</v>
      </c>
      <c r="E15">
        <v>2</v>
      </c>
      <c r="F15" t="s">
        <v>34</v>
      </c>
      <c r="G15">
        <v>5</v>
      </c>
      <c r="H15" t="str">
        <f t="shared" si="2"/>
        <v>None</v>
      </c>
      <c r="I15">
        <v>200</v>
      </c>
    </row>
    <row r="16" spans="1:9" x14ac:dyDescent="0.4">
      <c r="A16">
        <v>14</v>
      </c>
      <c r="B16" t="s">
        <v>35</v>
      </c>
      <c r="C16">
        <v>1</v>
      </c>
      <c r="D16">
        <v>1</v>
      </c>
      <c r="E16">
        <v>2</v>
      </c>
      <c r="F16" t="s">
        <v>35</v>
      </c>
      <c r="G16">
        <v>5</v>
      </c>
      <c r="H16" t="str">
        <f t="shared" si="2"/>
        <v>None</v>
      </c>
      <c r="I16">
        <v>230</v>
      </c>
    </row>
    <row r="17" spans="1:9" x14ac:dyDescent="0.4">
      <c r="A17">
        <v>15</v>
      </c>
      <c r="B17" t="s">
        <v>36</v>
      </c>
      <c r="C17">
        <v>1</v>
      </c>
      <c r="D17">
        <v>1</v>
      </c>
      <c r="E17">
        <v>2</v>
      </c>
      <c r="F17" t="s">
        <v>36</v>
      </c>
      <c r="G17">
        <v>5</v>
      </c>
      <c r="H17" t="str">
        <f t="shared" si="2"/>
        <v>None</v>
      </c>
      <c r="I17">
        <v>150</v>
      </c>
    </row>
    <row r="18" spans="1:9" x14ac:dyDescent="0.4">
      <c r="A18">
        <v>16</v>
      </c>
      <c r="B18" t="s">
        <v>37</v>
      </c>
      <c r="C18">
        <v>1</v>
      </c>
      <c r="D18">
        <v>1</v>
      </c>
      <c r="E18">
        <v>2</v>
      </c>
      <c r="F18" t="s">
        <v>37</v>
      </c>
      <c r="G18">
        <v>5</v>
      </c>
      <c r="H18" t="str">
        <f>IF(G18=0,"Helmet",IF(G18=1,"Armor",IF(G18=2,"Gauntlet",IF(G18=3,"Shoes",IF(G18=4,"Weapon","None")))))</f>
        <v>None</v>
      </c>
      <c r="I18">
        <v>200</v>
      </c>
    </row>
    <row r="19" spans="1:9" x14ac:dyDescent="0.4">
      <c r="A19">
        <v>17</v>
      </c>
      <c r="B19" t="s">
        <v>49</v>
      </c>
      <c r="C19">
        <v>1</v>
      </c>
      <c r="D19">
        <v>1</v>
      </c>
      <c r="E19">
        <v>2</v>
      </c>
      <c r="F19" t="s">
        <v>49</v>
      </c>
      <c r="G19">
        <v>5</v>
      </c>
      <c r="H19" t="str">
        <f>IF(G19=0,"Helmet",IF(G19=1,"Armor",IF(G19=2,"Gauntlet",IF(G19=3,"Shoes",IF(G19=4,"Weapon","None")))))</f>
        <v>None</v>
      </c>
      <c r="I19">
        <v>170</v>
      </c>
    </row>
    <row r="20" spans="1:9" x14ac:dyDescent="0.4">
      <c r="A20">
        <v>18</v>
      </c>
      <c r="B20" t="s">
        <v>38</v>
      </c>
      <c r="C20">
        <v>1</v>
      </c>
      <c r="D20">
        <v>1</v>
      </c>
      <c r="E20">
        <v>2</v>
      </c>
      <c r="F20" t="s">
        <v>38</v>
      </c>
      <c r="G20">
        <v>5</v>
      </c>
      <c r="H20" t="str">
        <f t="shared" si="2"/>
        <v>None</v>
      </c>
      <c r="I20">
        <v>170</v>
      </c>
    </row>
    <row r="21" spans="1:9" x14ac:dyDescent="0.4">
      <c r="A21">
        <v>19</v>
      </c>
      <c r="B21" t="s">
        <v>39</v>
      </c>
      <c r="C21">
        <v>1</v>
      </c>
      <c r="D21">
        <v>1</v>
      </c>
      <c r="E21">
        <v>2</v>
      </c>
      <c r="F21" t="s">
        <v>39</v>
      </c>
      <c r="G21">
        <v>5</v>
      </c>
      <c r="H21" t="str">
        <f t="shared" si="2"/>
        <v>None</v>
      </c>
      <c r="I21">
        <v>170</v>
      </c>
    </row>
    <row r="22" spans="1:9" x14ac:dyDescent="0.4">
      <c r="A22">
        <v>20</v>
      </c>
      <c r="B22" t="s">
        <v>40</v>
      </c>
      <c r="C22">
        <v>1</v>
      </c>
      <c r="D22">
        <v>1</v>
      </c>
      <c r="E22">
        <v>2</v>
      </c>
      <c r="F22" t="s">
        <v>40</v>
      </c>
      <c r="G22">
        <v>5</v>
      </c>
      <c r="H22" t="str">
        <f t="shared" si="2"/>
        <v>None</v>
      </c>
      <c r="I22">
        <v>130</v>
      </c>
    </row>
    <row r="23" spans="1:9" x14ac:dyDescent="0.4">
      <c r="A23">
        <v>21</v>
      </c>
      <c r="B23" t="s">
        <v>41</v>
      </c>
      <c r="C23">
        <v>1</v>
      </c>
      <c r="D23">
        <v>1</v>
      </c>
      <c r="E23">
        <v>2</v>
      </c>
      <c r="F23" t="s">
        <v>41</v>
      </c>
      <c r="G23">
        <v>5</v>
      </c>
      <c r="H23" t="str">
        <f t="shared" si="2"/>
        <v>None</v>
      </c>
      <c r="I23">
        <v>120</v>
      </c>
    </row>
    <row r="24" spans="1:9" x14ac:dyDescent="0.4">
      <c r="A24">
        <v>22</v>
      </c>
      <c r="B24" t="s">
        <v>42</v>
      </c>
      <c r="C24">
        <v>1</v>
      </c>
      <c r="D24">
        <v>1</v>
      </c>
      <c r="E24">
        <v>2</v>
      </c>
      <c r="F24" t="s">
        <v>42</v>
      </c>
      <c r="G24">
        <v>5</v>
      </c>
      <c r="H24" t="str">
        <f t="shared" si="2"/>
        <v>None</v>
      </c>
      <c r="I24">
        <v>220</v>
      </c>
    </row>
    <row r="25" spans="1:9" x14ac:dyDescent="0.4">
      <c r="A25">
        <v>23</v>
      </c>
      <c r="B25" t="s">
        <v>43</v>
      </c>
      <c r="C25">
        <v>1</v>
      </c>
      <c r="D25">
        <v>1</v>
      </c>
      <c r="E25">
        <v>2</v>
      </c>
      <c r="F25" t="s">
        <v>43</v>
      </c>
      <c r="G25">
        <v>5</v>
      </c>
      <c r="H25" t="str">
        <f t="shared" si="2"/>
        <v>None</v>
      </c>
      <c r="I25">
        <v>150</v>
      </c>
    </row>
    <row r="26" spans="1:9" x14ac:dyDescent="0.4">
      <c r="A26">
        <v>24</v>
      </c>
      <c r="B26" t="s">
        <v>44</v>
      </c>
      <c r="C26">
        <v>1</v>
      </c>
      <c r="D26">
        <v>1</v>
      </c>
      <c r="E26">
        <v>2</v>
      </c>
      <c r="F26" t="s">
        <v>44</v>
      </c>
      <c r="G26">
        <v>5</v>
      </c>
      <c r="H26" t="str">
        <f t="shared" si="2"/>
        <v>None</v>
      </c>
      <c r="I26">
        <v>150</v>
      </c>
    </row>
    <row r="27" spans="1:9" x14ac:dyDescent="0.4">
      <c r="A27">
        <v>25</v>
      </c>
      <c r="B27" t="s">
        <v>45</v>
      </c>
      <c r="C27">
        <v>1</v>
      </c>
      <c r="D27">
        <v>1</v>
      </c>
      <c r="E27">
        <v>2</v>
      </c>
      <c r="F27" t="s">
        <v>45</v>
      </c>
      <c r="G27">
        <v>5</v>
      </c>
      <c r="H27" t="str">
        <f t="shared" si="2"/>
        <v>None</v>
      </c>
      <c r="I27">
        <v>180</v>
      </c>
    </row>
    <row r="28" spans="1:9" x14ac:dyDescent="0.4">
      <c r="A28">
        <v>26</v>
      </c>
      <c r="B28" t="s">
        <v>46</v>
      </c>
      <c r="C28">
        <v>1</v>
      </c>
      <c r="D28">
        <v>1</v>
      </c>
      <c r="E28">
        <v>2</v>
      </c>
      <c r="F28" t="s">
        <v>46</v>
      </c>
      <c r="G28">
        <v>5</v>
      </c>
      <c r="H28" t="str">
        <f t="shared" si="2"/>
        <v>None</v>
      </c>
      <c r="I28">
        <v>150</v>
      </c>
    </row>
    <row r="29" spans="1:9" x14ac:dyDescent="0.4">
      <c r="A29">
        <v>27</v>
      </c>
      <c r="B29" t="s">
        <v>47</v>
      </c>
      <c r="C29">
        <v>1</v>
      </c>
      <c r="D29">
        <v>1</v>
      </c>
      <c r="E29">
        <v>2</v>
      </c>
      <c r="F29" t="s">
        <v>47</v>
      </c>
      <c r="G29">
        <v>5</v>
      </c>
      <c r="H29" t="str">
        <f t="shared" si="2"/>
        <v>None</v>
      </c>
      <c r="I29">
        <v>170</v>
      </c>
    </row>
    <row r="30" spans="1:9" x14ac:dyDescent="0.4">
      <c r="A30">
        <v>28</v>
      </c>
      <c r="B30" t="s">
        <v>48</v>
      </c>
      <c r="C30">
        <v>1</v>
      </c>
      <c r="D30">
        <v>1</v>
      </c>
      <c r="E30">
        <f>100-SUM(E2:E29)</f>
        <v>44</v>
      </c>
      <c r="F30" t="s">
        <v>48</v>
      </c>
      <c r="G30">
        <v>5</v>
      </c>
      <c r="H30" t="str">
        <f t="shared" si="2"/>
        <v>None</v>
      </c>
      <c r="I30">
        <v>300</v>
      </c>
    </row>
  </sheetData>
  <phoneticPr fontId="2"/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5"/>
  <sheetViews>
    <sheetView zoomScaleNormal="100" workbookViewId="0">
      <selection activeCell="A2" sqref="A2:A15"/>
    </sheetView>
  </sheetViews>
  <sheetFormatPr defaultRowHeight="18.75" x14ac:dyDescent="0.4"/>
  <cols>
    <col min="1" max="1" width="8.625" customWidth="1"/>
    <col min="2" max="2" width="17.75" customWidth="1"/>
    <col min="3" max="4" width="8.625" customWidth="1"/>
    <col min="5" max="5" width="15" customWidth="1"/>
    <col min="6" max="6" width="17.5" customWidth="1"/>
    <col min="7" max="7" width="15.5" customWidth="1"/>
    <col min="8" max="8" width="14" customWidth="1"/>
    <col min="9" max="9" width="11.5" customWidth="1"/>
    <col min="10" max="1025" width="8.625" customWidth="1"/>
  </cols>
  <sheetData>
    <row r="1" spans="1:9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13</v>
      </c>
      <c r="H1" t="s">
        <v>14</v>
      </c>
      <c r="I1" t="s">
        <v>15</v>
      </c>
    </row>
    <row r="2" spans="1:9" x14ac:dyDescent="0.4">
      <c r="A2">
        <v>0</v>
      </c>
      <c r="B2" t="s">
        <v>82</v>
      </c>
      <c r="C2">
        <v>1</v>
      </c>
      <c r="D2">
        <v>1</v>
      </c>
      <c r="E2">
        <v>2</v>
      </c>
      <c r="F2" t="s">
        <v>82</v>
      </c>
      <c r="G2">
        <v>4</v>
      </c>
      <c r="H2" t="str">
        <f t="shared" ref="H2:H5" si="0">IF(G2=0,"Helmet",IF(G2=1,"Armor",IF(G2=2,"Gauntlet",IF(G2=3,"Shoes",IF(G2=4,"Weapon","None")))))</f>
        <v>Weapon</v>
      </c>
      <c r="I2">
        <v>500</v>
      </c>
    </row>
    <row r="3" spans="1:9" x14ac:dyDescent="0.4">
      <c r="A3">
        <v>1</v>
      </c>
      <c r="B3" t="s">
        <v>83</v>
      </c>
      <c r="C3">
        <v>1</v>
      </c>
      <c r="D3">
        <v>3</v>
      </c>
      <c r="E3">
        <v>2</v>
      </c>
      <c r="F3" t="s">
        <v>83</v>
      </c>
      <c r="G3">
        <v>4</v>
      </c>
      <c r="H3" t="str">
        <f t="shared" si="0"/>
        <v>Weapon</v>
      </c>
      <c r="I3">
        <v>500</v>
      </c>
    </row>
    <row r="4" spans="1:9" x14ac:dyDescent="0.4">
      <c r="A4">
        <v>2</v>
      </c>
      <c r="B4" t="s">
        <v>84</v>
      </c>
      <c r="C4">
        <v>1</v>
      </c>
      <c r="D4">
        <v>2</v>
      </c>
      <c r="E4">
        <v>2</v>
      </c>
      <c r="F4" t="s">
        <v>84</v>
      </c>
      <c r="G4">
        <v>4</v>
      </c>
      <c r="H4" t="str">
        <f t="shared" si="0"/>
        <v>Weapon</v>
      </c>
      <c r="I4">
        <v>500</v>
      </c>
    </row>
    <row r="5" spans="1:9" x14ac:dyDescent="0.4">
      <c r="A5">
        <v>3</v>
      </c>
      <c r="B5" t="s">
        <v>85</v>
      </c>
      <c r="C5">
        <v>1</v>
      </c>
      <c r="D5">
        <v>2</v>
      </c>
      <c r="E5">
        <v>2</v>
      </c>
      <c r="F5" t="s">
        <v>85</v>
      </c>
      <c r="G5">
        <v>4</v>
      </c>
      <c r="H5" t="str">
        <f t="shared" si="0"/>
        <v>Weapon</v>
      </c>
      <c r="I5">
        <v>500</v>
      </c>
    </row>
    <row r="6" spans="1:9" x14ac:dyDescent="0.4">
      <c r="A6">
        <v>4</v>
      </c>
      <c r="B6" t="s">
        <v>50</v>
      </c>
      <c r="C6">
        <v>1</v>
      </c>
      <c r="D6">
        <v>1</v>
      </c>
      <c r="E6">
        <v>5</v>
      </c>
      <c r="F6" t="s">
        <v>50</v>
      </c>
      <c r="G6">
        <v>5</v>
      </c>
      <c r="H6" t="str">
        <f t="shared" ref="H6:H15" si="1">IF(G6=0,"Helmet",IF(G6=1,"Armor",IF(G6=2,"Gauntlet",IF(G6=3,"Shoes",IF(G6=4,"Weapon","None")))))</f>
        <v>None</v>
      </c>
      <c r="I6">
        <v>500</v>
      </c>
    </row>
    <row r="7" spans="1:9" x14ac:dyDescent="0.4">
      <c r="A7">
        <v>5</v>
      </c>
      <c r="B7" t="s">
        <v>51</v>
      </c>
      <c r="C7">
        <v>2</v>
      </c>
      <c r="D7">
        <v>2</v>
      </c>
      <c r="E7">
        <v>5</v>
      </c>
      <c r="F7" t="s">
        <v>51</v>
      </c>
      <c r="G7">
        <v>5</v>
      </c>
      <c r="H7" t="str">
        <f t="shared" si="1"/>
        <v>None</v>
      </c>
      <c r="I7">
        <v>800</v>
      </c>
    </row>
    <row r="8" spans="1:9" x14ac:dyDescent="0.4">
      <c r="A8">
        <v>6</v>
      </c>
      <c r="B8" t="s">
        <v>52</v>
      </c>
      <c r="C8">
        <v>2</v>
      </c>
      <c r="D8">
        <v>1</v>
      </c>
      <c r="E8">
        <v>5</v>
      </c>
      <c r="F8" t="s">
        <v>52</v>
      </c>
      <c r="G8">
        <v>5</v>
      </c>
      <c r="H8" t="str">
        <f t="shared" si="1"/>
        <v>None</v>
      </c>
      <c r="I8">
        <v>600</v>
      </c>
    </row>
    <row r="9" spans="1:9" x14ac:dyDescent="0.4">
      <c r="A9">
        <v>7</v>
      </c>
      <c r="B9" t="s">
        <v>53</v>
      </c>
      <c r="C9">
        <v>2</v>
      </c>
      <c r="D9">
        <v>2</v>
      </c>
      <c r="E9">
        <v>5</v>
      </c>
      <c r="F9" t="s">
        <v>53</v>
      </c>
      <c r="G9">
        <v>5</v>
      </c>
      <c r="H9" t="str">
        <f t="shared" si="1"/>
        <v>None</v>
      </c>
      <c r="I9">
        <v>1700</v>
      </c>
    </row>
    <row r="10" spans="1:9" x14ac:dyDescent="0.4">
      <c r="A10">
        <v>8</v>
      </c>
      <c r="B10" t="s">
        <v>54</v>
      </c>
      <c r="C10">
        <v>1</v>
      </c>
      <c r="D10">
        <v>1</v>
      </c>
      <c r="E10">
        <v>5</v>
      </c>
      <c r="F10" t="s">
        <v>54</v>
      </c>
      <c r="G10">
        <v>5</v>
      </c>
      <c r="H10" t="str">
        <f t="shared" si="1"/>
        <v>None</v>
      </c>
      <c r="I10">
        <v>620</v>
      </c>
    </row>
    <row r="11" spans="1:9" x14ac:dyDescent="0.4">
      <c r="A11">
        <v>9</v>
      </c>
      <c r="B11" t="s">
        <v>55</v>
      </c>
      <c r="C11">
        <v>2</v>
      </c>
      <c r="D11">
        <v>2</v>
      </c>
      <c r="E11">
        <v>5</v>
      </c>
      <c r="F11" t="s">
        <v>55</v>
      </c>
      <c r="G11">
        <v>5</v>
      </c>
      <c r="H11" t="str">
        <f t="shared" si="1"/>
        <v>None</v>
      </c>
      <c r="I11">
        <v>1500</v>
      </c>
    </row>
    <row r="12" spans="1:9" x14ac:dyDescent="0.4">
      <c r="A12">
        <v>10</v>
      </c>
      <c r="B12" t="s">
        <v>56</v>
      </c>
      <c r="C12">
        <v>2</v>
      </c>
      <c r="D12">
        <v>1</v>
      </c>
      <c r="E12">
        <v>5</v>
      </c>
      <c r="F12" t="s">
        <v>56</v>
      </c>
      <c r="G12">
        <v>5</v>
      </c>
      <c r="H12" t="str">
        <f t="shared" si="1"/>
        <v>None</v>
      </c>
      <c r="I12">
        <v>800</v>
      </c>
    </row>
    <row r="13" spans="1:9" x14ac:dyDescent="0.4">
      <c r="A13">
        <v>11</v>
      </c>
      <c r="B13" t="s">
        <v>57</v>
      </c>
      <c r="C13">
        <v>1</v>
      </c>
      <c r="D13">
        <v>1</v>
      </c>
      <c r="E13">
        <v>5</v>
      </c>
      <c r="F13" t="s">
        <v>57</v>
      </c>
      <c r="G13">
        <v>5</v>
      </c>
      <c r="H13" t="str">
        <f t="shared" si="1"/>
        <v>None</v>
      </c>
      <c r="I13">
        <v>800</v>
      </c>
    </row>
    <row r="14" spans="1:9" x14ac:dyDescent="0.4">
      <c r="A14">
        <v>12</v>
      </c>
      <c r="B14" t="s">
        <v>58</v>
      </c>
      <c r="C14">
        <v>2</v>
      </c>
      <c r="D14">
        <v>2</v>
      </c>
      <c r="E14">
        <v>5</v>
      </c>
      <c r="F14" t="s">
        <v>58</v>
      </c>
      <c r="G14">
        <v>5</v>
      </c>
      <c r="H14" t="str">
        <f t="shared" si="1"/>
        <v>None</v>
      </c>
      <c r="I14">
        <v>1200</v>
      </c>
    </row>
    <row r="15" spans="1:9" x14ac:dyDescent="0.4">
      <c r="A15">
        <v>13</v>
      </c>
      <c r="B15" t="s">
        <v>59</v>
      </c>
      <c r="C15">
        <v>2</v>
      </c>
      <c r="D15">
        <v>2</v>
      </c>
      <c r="E15">
        <f>100-SUM(E2:E14)</f>
        <v>47</v>
      </c>
      <c r="F15" t="s">
        <v>59</v>
      </c>
      <c r="G15">
        <v>5</v>
      </c>
      <c r="H15" t="str">
        <f t="shared" si="1"/>
        <v>None</v>
      </c>
      <c r="I15">
        <v>3000</v>
      </c>
    </row>
  </sheetData>
  <phoneticPr fontId="2"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8"/>
  <sheetViews>
    <sheetView topLeftCell="A3" zoomScaleNormal="100" workbookViewId="0">
      <selection activeCell="B18" sqref="B18:I18"/>
    </sheetView>
  </sheetViews>
  <sheetFormatPr defaultRowHeight="18.75" x14ac:dyDescent="0.4"/>
  <cols>
    <col min="1" max="1" width="8.625" customWidth="1"/>
    <col min="2" max="2" width="21.75" customWidth="1"/>
    <col min="3" max="4" width="8.625" customWidth="1"/>
    <col min="5" max="5" width="11.375" customWidth="1"/>
    <col min="6" max="6" width="20.75" customWidth="1"/>
    <col min="7" max="7" width="15.875" customWidth="1"/>
    <col min="8" max="8" width="12.5" customWidth="1"/>
    <col min="9" max="10" width="10.25" customWidth="1"/>
    <col min="11" max="1025" width="8.625" customWidth="1"/>
  </cols>
  <sheetData>
    <row r="1" spans="1:9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13</v>
      </c>
      <c r="H1" t="s">
        <v>14</v>
      </c>
      <c r="I1" t="s">
        <v>15</v>
      </c>
    </row>
    <row r="2" spans="1:9" x14ac:dyDescent="0.4">
      <c r="A2">
        <v>0</v>
      </c>
      <c r="B2" t="s">
        <v>86</v>
      </c>
      <c r="C2">
        <v>1</v>
      </c>
      <c r="D2">
        <v>1</v>
      </c>
      <c r="E2">
        <v>2</v>
      </c>
      <c r="F2" t="s">
        <v>86</v>
      </c>
      <c r="G2">
        <v>4</v>
      </c>
      <c r="H2" t="str">
        <f t="shared" ref="H2:H5" si="0">IF(G2=0,"Helmet",IF(G2=1,"Armor",IF(G2=2,"Gauntlet",IF(G2=3,"Shoes",IF(G2=4,"Weapon","None")))))</f>
        <v>Weapon</v>
      </c>
      <c r="I2">
        <v>500</v>
      </c>
    </row>
    <row r="3" spans="1:9" x14ac:dyDescent="0.4">
      <c r="A3">
        <v>1</v>
      </c>
      <c r="B3" t="s">
        <v>87</v>
      </c>
      <c r="C3">
        <v>1</v>
      </c>
      <c r="D3">
        <v>3</v>
      </c>
      <c r="E3">
        <v>2</v>
      </c>
      <c r="F3" t="s">
        <v>87</v>
      </c>
      <c r="G3">
        <v>4</v>
      </c>
      <c r="H3" t="str">
        <f t="shared" si="0"/>
        <v>Weapon</v>
      </c>
      <c r="I3">
        <v>500</v>
      </c>
    </row>
    <row r="4" spans="1:9" x14ac:dyDescent="0.4">
      <c r="A4">
        <v>2</v>
      </c>
      <c r="B4" t="s">
        <v>88</v>
      </c>
      <c r="C4">
        <v>1</v>
      </c>
      <c r="D4">
        <v>2</v>
      </c>
      <c r="E4">
        <v>2</v>
      </c>
      <c r="F4" t="s">
        <v>88</v>
      </c>
      <c r="G4">
        <v>4</v>
      </c>
      <c r="H4" t="str">
        <f t="shared" si="0"/>
        <v>Weapon</v>
      </c>
      <c r="I4">
        <v>500</v>
      </c>
    </row>
    <row r="5" spans="1:9" x14ac:dyDescent="0.4">
      <c r="A5">
        <v>3</v>
      </c>
      <c r="B5" t="s">
        <v>89</v>
      </c>
      <c r="C5">
        <v>1</v>
      </c>
      <c r="D5">
        <v>2</v>
      </c>
      <c r="E5">
        <v>2</v>
      </c>
      <c r="F5" t="s">
        <v>89</v>
      </c>
      <c r="G5">
        <v>4</v>
      </c>
      <c r="H5" t="str">
        <f t="shared" si="0"/>
        <v>Weapon</v>
      </c>
      <c r="I5">
        <v>500</v>
      </c>
    </row>
    <row r="6" spans="1:9" x14ac:dyDescent="0.4">
      <c r="A6">
        <v>4</v>
      </c>
      <c r="B6" t="s">
        <v>60</v>
      </c>
      <c r="C6">
        <v>2</v>
      </c>
      <c r="D6">
        <v>2</v>
      </c>
      <c r="E6">
        <v>5</v>
      </c>
      <c r="F6" t="s">
        <v>60</v>
      </c>
      <c r="G6">
        <v>5</v>
      </c>
      <c r="H6" t="str">
        <f t="shared" ref="H6:H18" si="1">IF(G6=0,"Helmet",IF(G6=1,"Armor",IF(G6=2,"Gauntlet",IF(G6=3,"Shoes",IF(G6=4,"Weapon","None")))))</f>
        <v>None</v>
      </c>
      <c r="I6">
        <v>3400</v>
      </c>
    </row>
    <row r="7" spans="1:9" x14ac:dyDescent="0.4">
      <c r="A7">
        <v>5</v>
      </c>
      <c r="B7" t="s">
        <v>61</v>
      </c>
      <c r="C7">
        <v>1</v>
      </c>
      <c r="D7">
        <v>1</v>
      </c>
      <c r="E7">
        <v>5</v>
      </c>
      <c r="F7" t="s">
        <v>61</v>
      </c>
      <c r="G7">
        <v>5</v>
      </c>
      <c r="H7" t="str">
        <f t="shared" si="1"/>
        <v>None</v>
      </c>
      <c r="I7">
        <v>830</v>
      </c>
    </row>
    <row r="8" spans="1:9" x14ac:dyDescent="0.4">
      <c r="A8">
        <v>6</v>
      </c>
      <c r="B8" t="s">
        <v>62</v>
      </c>
      <c r="C8">
        <v>1</v>
      </c>
      <c r="D8">
        <v>1</v>
      </c>
      <c r="E8">
        <v>5</v>
      </c>
      <c r="F8" t="s">
        <v>62</v>
      </c>
      <c r="G8">
        <v>5</v>
      </c>
      <c r="H8" t="str">
        <f t="shared" si="1"/>
        <v>None</v>
      </c>
      <c r="I8">
        <v>900</v>
      </c>
    </row>
    <row r="9" spans="1:9" x14ac:dyDescent="0.4">
      <c r="A9">
        <v>7</v>
      </c>
      <c r="B9" t="s">
        <v>63</v>
      </c>
      <c r="C9">
        <v>2</v>
      </c>
      <c r="D9">
        <v>2</v>
      </c>
      <c r="E9">
        <v>5</v>
      </c>
      <c r="F9" t="s">
        <v>63</v>
      </c>
      <c r="G9">
        <v>5</v>
      </c>
      <c r="H9" t="str">
        <f t="shared" si="1"/>
        <v>None</v>
      </c>
      <c r="I9">
        <v>3500</v>
      </c>
    </row>
    <row r="10" spans="1:9" x14ac:dyDescent="0.4">
      <c r="A10">
        <v>8</v>
      </c>
      <c r="B10" t="s">
        <v>64</v>
      </c>
      <c r="C10">
        <v>1</v>
      </c>
      <c r="D10">
        <v>1</v>
      </c>
      <c r="E10">
        <v>5</v>
      </c>
      <c r="F10" t="s">
        <v>64</v>
      </c>
      <c r="G10">
        <v>5</v>
      </c>
      <c r="H10" t="str">
        <f t="shared" si="1"/>
        <v>None</v>
      </c>
      <c r="I10">
        <v>1100</v>
      </c>
    </row>
    <row r="11" spans="1:9" x14ac:dyDescent="0.4">
      <c r="A11">
        <v>9</v>
      </c>
      <c r="B11" t="s">
        <v>65</v>
      </c>
      <c r="C11">
        <v>1</v>
      </c>
      <c r="D11">
        <v>3</v>
      </c>
      <c r="E11">
        <v>5</v>
      </c>
      <c r="F11" t="s">
        <v>65</v>
      </c>
      <c r="G11">
        <v>5</v>
      </c>
      <c r="H11" t="str">
        <f t="shared" si="1"/>
        <v>None</v>
      </c>
      <c r="I11">
        <v>2700</v>
      </c>
    </row>
    <row r="12" spans="1:9" x14ac:dyDescent="0.4">
      <c r="A12">
        <v>10</v>
      </c>
      <c r="B12" t="s">
        <v>66</v>
      </c>
      <c r="C12">
        <v>1</v>
      </c>
      <c r="D12">
        <v>1</v>
      </c>
      <c r="E12">
        <v>5</v>
      </c>
      <c r="F12" t="s">
        <v>66</v>
      </c>
      <c r="G12">
        <v>5</v>
      </c>
      <c r="H12" t="str">
        <f t="shared" si="1"/>
        <v>None</v>
      </c>
      <c r="I12">
        <v>810</v>
      </c>
    </row>
    <row r="13" spans="1:9" x14ac:dyDescent="0.4">
      <c r="A13">
        <v>11</v>
      </c>
      <c r="B13" t="s">
        <v>67</v>
      </c>
      <c r="C13">
        <v>1</v>
      </c>
      <c r="D13">
        <v>1</v>
      </c>
      <c r="E13">
        <v>5</v>
      </c>
      <c r="F13" t="s">
        <v>67</v>
      </c>
      <c r="G13">
        <v>5</v>
      </c>
      <c r="H13" t="str">
        <f t="shared" si="1"/>
        <v>None</v>
      </c>
      <c r="I13">
        <v>1500</v>
      </c>
    </row>
    <row r="14" spans="1:9" x14ac:dyDescent="0.4">
      <c r="A14">
        <v>12</v>
      </c>
      <c r="B14" t="s">
        <v>68</v>
      </c>
      <c r="C14">
        <v>2</v>
      </c>
      <c r="D14">
        <v>2</v>
      </c>
      <c r="E14">
        <v>5</v>
      </c>
      <c r="F14" t="s">
        <v>68</v>
      </c>
      <c r="G14">
        <v>5</v>
      </c>
      <c r="H14" t="str">
        <f t="shared" si="1"/>
        <v>None</v>
      </c>
      <c r="I14">
        <v>3300</v>
      </c>
    </row>
    <row r="15" spans="1:9" x14ac:dyDescent="0.4">
      <c r="A15">
        <v>13</v>
      </c>
      <c r="B15" t="s">
        <v>72</v>
      </c>
      <c r="C15">
        <v>1</v>
      </c>
      <c r="D15">
        <v>1</v>
      </c>
      <c r="E15">
        <v>5</v>
      </c>
      <c r="F15" t="s">
        <v>72</v>
      </c>
      <c r="G15">
        <v>5</v>
      </c>
      <c r="H15" t="str">
        <f t="shared" si="1"/>
        <v>None</v>
      </c>
      <c r="I15">
        <v>800</v>
      </c>
    </row>
    <row r="16" spans="1:9" x14ac:dyDescent="0.4">
      <c r="A16">
        <v>14</v>
      </c>
      <c r="B16" t="s">
        <v>69</v>
      </c>
      <c r="C16">
        <v>2</v>
      </c>
      <c r="D16">
        <v>1</v>
      </c>
      <c r="E16">
        <v>5</v>
      </c>
      <c r="F16" t="s">
        <v>69</v>
      </c>
      <c r="G16">
        <v>5</v>
      </c>
      <c r="H16" t="str">
        <f t="shared" si="1"/>
        <v>None</v>
      </c>
      <c r="I16">
        <v>1700</v>
      </c>
    </row>
    <row r="17" spans="1:9" x14ac:dyDescent="0.4">
      <c r="A17">
        <v>15</v>
      </c>
      <c r="B17" t="s">
        <v>70</v>
      </c>
      <c r="C17">
        <v>2</v>
      </c>
      <c r="D17">
        <v>3</v>
      </c>
      <c r="E17">
        <v>1</v>
      </c>
      <c r="F17" t="s">
        <v>70</v>
      </c>
      <c r="G17">
        <v>5</v>
      </c>
      <c r="H17" t="str">
        <f t="shared" si="1"/>
        <v>None</v>
      </c>
      <c r="I17">
        <v>10000</v>
      </c>
    </row>
    <row r="18" spans="1:9" x14ac:dyDescent="0.4">
      <c r="A18">
        <v>16</v>
      </c>
      <c r="B18" t="s">
        <v>71</v>
      </c>
      <c r="C18">
        <v>1</v>
      </c>
      <c r="D18">
        <v>3</v>
      </c>
      <c r="E18">
        <f>100-SUM(E2:E17)</f>
        <v>36</v>
      </c>
      <c r="F18" t="s">
        <v>71</v>
      </c>
      <c r="G18">
        <v>5</v>
      </c>
      <c r="H18" t="str">
        <f t="shared" si="1"/>
        <v>None</v>
      </c>
      <c r="I18">
        <v>4000</v>
      </c>
    </row>
  </sheetData>
  <phoneticPr fontId="2"/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5"/>
  <sheetViews>
    <sheetView zoomScaleNormal="100" workbookViewId="0">
      <selection activeCell="G2" sqref="G2:J2"/>
    </sheetView>
  </sheetViews>
  <sheetFormatPr defaultRowHeight="18.75" x14ac:dyDescent="0.4"/>
  <cols>
    <col min="1" max="1" width="8.625" customWidth="1"/>
    <col min="2" max="2" width="12.625" customWidth="1"/>
    <col min="3" max="1025" width="8.625" customWidth="1"/>
  </cols>
  <sheetData>
    <row r="1" spans="1:10" x14ac:dyDescent="0.4">
      <c r="A1" t="s">
        <v>0</v>
      </c>
      <c r="B1" s="1" t="s">
        <v>6</v>
      </c>
      <c r="C1" t="s">
        <v>2</v>
      </c>
      <c r="D1" t="s">
        <v>3</v>
      </c>
      <c r="E1" t="s">
        <v>7</v>
      </c>
      <c r="F1" t="s">
        <v>8</v>
      </c>
      <c r="G1" s="2" t="s">
        <v>9</v>
      </c>
      <c r="H1" s="2" t="s">
        <v>10</v>
      </c>
      <c r="I1" s="2" t="s">
        <v>11</v>
      </c>
      <c r="J1" s="2" t="s">
        <v>12</v>
      </c>
    </row>
    <row r="2" spans="1:10" x14ac:dyDescent="0.4">
      <c r="A2">
        <v>0</v>
      </c>
      <c r="B2" t="s">
        <v>9</v>
      </c>
      <c r="C2">
        <v>5</v>
      </c>
      <c r="D2">
        <v>2</v>
      </c>
      <c r="E2">
        <v>3</v>
      </c>
      <c r="F2">
        <v>6</v>
      </c>
      <c r="G2" s="2">
        <f>100 - (H2+I2+J2)</f>
        <v>89</v>
      </c>
      <c r="H2" s="2">
        <v>10</v>
      </c>
      <c r="I2" s="2">
        <v>1</v>
      </c>
      <c r="J2" s="2">
        <v>0</v>
      </c>
    </row>
    <row r="3" spans="1:10" x14ac:dyDescent="0.4">
      <c r="A3">
        <v>1</v>
      </c>
      <c r="B3" t="s">
        <v>10</v>
      </c>
      <c r="C3">
        <v>5</v>
      </c>
      <c r="D3">
        <v>3</v>
      </c>
      <c r="E3">
        <v>4</v>
      </c>
      <c r="F3">
        <v>7</v>
      </c>
      <c r="G3" s="2">
        <f>100 - (H3+I3+J3)</f>
        <v>74</v>
      </c>
      <c r="H3" s="2">
        <v>20</v>
      </c>
      <c r="I3" s="2">
        <v>5</v>
      </c>
      <c r="J3" s="2">
        <v>1</v>
      </c>
    </row>
    <row r="4" spans="1:10" x14ac:dyDescent="0.4">
      <c r="A4">
        <v>2</v>
      </c>
      <c r="B4" t="s">
        <v>11</v>
      </c>
      <c r="C4">
        <v>5</v>
      </c>
      <c r="D4">
        <v>3</v>
      </c>
      <c r="E4">
        <v>5</v>
      </c>
      <c r="F4">
        <v>8</v>
      </c>
      <c r="G4" s="2">
        <f>100 - (H4+I4+J4)</f>
        <v>60</v>
      </c>
      <c r="H4" s="2">
        <v>30</v>
      </c>
      <c r="I4" s="2">
        <v>5</v>
      </c>
      <c r="J4" s="2">
        <v>5</v>
      </c>
    </row>
    <row r="5" spans="1:10" x14ac:dyDescent="0.4">
      <c r="A5">
        <v>3</v>
      </c>
      <c r="B5" t="s">
        <v>12</v>
      </c>
      <c r="C5">
        <v>5</v>
      </c>
      <c r="D5">
        <v>5</v>
      </c>
      <c r="E5">
        <v>6</v>
      </c>
      <c r="F5">
        <v>9</v>
      </c>
      <c r="G5" s="2">
        <f>100 - (H5+I5+J5)</f>
        <v>45</v>
      </c>
      <c r="H5" s="2">
        <v>40</v>
      </c>
      <c r="I5" s="2">
        <v>10</v>
      </c>
      <c r="J5" s="2">
        <v>5</v>
      </c>
    </row>
  </sheetData>
  <phoneticPr fontId="2"/>
  <conditionalFormatting sqref="G1:J5">
    <cfRule type="colorScale" priority="2">
      <colorScale>
        <cfvo type="min"/>
        <cfvo type="max"/>
        <color rgb="FF4EA72E"/>
        <color rgb="FFFFFF00"/>
      </colorScale>
    </cfRule>
  </conditionalFormatting>
  <pageMargins left="0.7" right="0.7" top="0.75" bottom="0.75" header="0.51180555555555496" footer="0.51180555555555496"/>
  <pageSetup paperSize="9"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common</vt:lpstr>
      <vt:lpstr>rare</vt:lpstr>
      <vt:lpstr>unique</vt:lpstr>
      <vt:lpstr>legendary</vt:lpstr>
      <vt:lpstr>treasureBox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大塚 康平</cp:lastModifiedBy>
  <cp:revision>3</cp:revision>
  <dcterms:created xsi:type="dcterms:W3CDTF">2025-09-16T00:40:16Z</dcterms:created>
  <dcterms:modified xsi:type="dcterms:W3CDTF">2026-01-16T03:18:28Z</dcterms:modified>
  <dc:language>ja-JP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