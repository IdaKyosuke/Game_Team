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C7FF4A75-58CD-4335-90A0-DF6AFD670DB4}" xr6:coauthVersionLast="47" xr6:coauthVersionMax="47" xr10:uidLastSave="{00000000-0000-0000-0000-000000000000}"/>
  <bookViews>
    <workbookView xWindow="3390" yWindow="-13860" windowWidth="21600" windowHeight="11295" tabRatio="500" activeTab="1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" i="4" l="1"/>
  <c r="H5" i="4"/>
  <c r="H4" i="4"/>
  <c r="H3" i="4"/>
  <c r="H7" i="3"/>
  <c r="H6" i="3"/>
  <c r="H5" i="3"/>
  <c r="H4" i="3"/>
  <c r="H7" i="2"/>
  <c r="H6" i="2"/>
  <c r="H5" i="2"/>
  <c r="H4" i="2"/>
  <c r="H4" i="1"/>
  <c r="H5" i="1"/>
  <c r="H6" i="1"/>
  <c r="H7" i="1"/>
  <c r="E19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E17" i="3"/>
  <c r="H8" i="3"/>
  <c r="H9" i="3"/>
  <c r="H10" i="3"/>
  <c r="H11" i="3"/>
  <c r="H12" i="3"/>
  <c r="H13" i="3"/>
  <c r="H14" i="3"/>
  <c r="H15" i="3"/>
  <c r="H16" i="3"/>
  <c r="H17" i="3"/>
  <c r="H18" i="2"/>
  <c r="H29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E29" i="2"/>
  <c r="E20" i="1"/>
  <c r="H20" i="1"/>
  <c r="H8" i="1"/>
  <c r="H9" i="1"/>
  <c r="H10" i="1"/>
  <c r="H11" i="1"/>
  <c r="H12" i="1"/>
  <c r="H13" i="1"/>
  <c r="H14" i="1"/>
  <c r="H15" i="1"/>
  <c r="H16" i="1"/>
  <c r="H17" i="1"/>
  <c r="H18" i="1"/>
  <c r="H19" i="1"/>
  <c r="H2" i="4"/>
  <c r="H3" i="3"/>
  <c r="H2" i="3"/>
  <c r="H3" i="2"/>
  <c r="H2" i="2"/>
  <c r="H3" i="1"/>
  <c r="H2" i="1"/>
  <c r="G5" i="5"/>
  <c r="G4" i="5"/>
  <c r="G3" i="5"/>
  <c r="G2" i="5"/>
</calcChain>
</file>

<file path=xl/sharedStrings.xml><?xml version="1.0" encoding="utf-8"?>
<sst xmlns="http://schemas.openxmlformats.org/spreadsheetml/2006/main" count="212" uniqueCount="100">
  <si>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</si>
  <si>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</si>
  <si>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</si>
  <si>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</si>
  <si>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</si>
  <si>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</si>
  <si>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</si>
  <si>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</si>
  <si>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</si>
  <si>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</si>
  <si>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</si>
  <si>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</si>
  <si>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</si>
  <si>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</si>
  <si>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</si>
  <si>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1×1</t>
  </si>
  <si>
    <t>1×1_body</t>
  </si>
  <si>
    <t>1×1_gauntlet</t>
  </si>
  <si>
    <t>1×1_head</t>
  </si>
  <si>
    <t>1×1_shoes</t>
  </si>
  <si>
    <t>1×1_Weapon</t>
  </si>
  <si>
    <t>1×2</t>
  </si>
  <si>
    <t>price</t>
    <phoneticPr fontId="2"/>
  </si>
  <si>
    <t>1×1_head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</si>
  <si>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</si>
  <si>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</si>
  <si>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</si>
  <si>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</si>
  <si>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</si>
  <si>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</si>
  <si>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</si>
  <si>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</si>
  <si>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</si>
  <si>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</si>
  <si>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</si>
  <si>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</si>
  <si>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</si>
  <si>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</si>
  <si>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</si>
  <si>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</si>
  <si>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</si>
  <si>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</si>
  <si>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</si>
  <si>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</si>
  <si>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</si>
  <si>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</si>
  <si>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</si>
  <si>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</si>
  <si>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</si>
  <si>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</si>
  <si>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</si>
  <si>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</si>
  <si>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</si>
  <si>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</si>
  <si>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</si>
  <si>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</si>
  <si>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</si>
  <si>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</si>
  <si>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</si>
  <si>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</si>
  <si>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</si>
  <si>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</si>
  <si>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</si>
  <si>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</si>
  <si>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</si>
  <si>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</si>
  <si>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</si>
  <si>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</si>
  <si>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</si>
  <si>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</si>
  <si>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</si>
  <si>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</si>
  <si>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</si>
  <si>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</si>
  <si>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</si>
  <si>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</si>
  <si>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</si>
  <si>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</si>
  <si>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</si>
  <si>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</si>
  <si>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</si>
  <si>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Common短剣</t>
    <rPh sb="6" eb="8">
      <t>タンケン</t>
    </rPh>
    <phoneticPr fontId="2"/>
  </si>
  <si>
    <t>Common大剣</t>
    <rPh sb="6" eb="8">
      <t>タイケン</t>
    </rPh>
    <phoneticPr fontId="2"/>
  </si>
  <si>
    <t>Commonメイス</t>
    <phoneticPr fontId="2"/>
  </si>
  <si>
    <t>Common杖</t>
    <rPh sb="6" eb="7">
      <t>ツエ</t>
    </rPh>
    <phoneticPr fontId="2"/>
  </si>
  <si>
    <t>Common短剣</t>
    <phoneticPr fontId="2"/>
  </si>
  <si>
    <t>Rare短剣</t>
    <rPh sb="4" eb="6">
      <t>タンケン</t>
    </rPh>
    <phoneticPr fontId="2"/>
  </si>
  <si>
    <t>Rare大剣</t>
    <rPh sb="4" eb="6">
      <t>タイケン</t>
    </rPh>
    <phoneticPr fontId="2"/>
  </si>
  <si>
    <t>Rareメイス</t>
    <phoneticPr fontId="2"/>
  </si>
  <si>
    <t>Rare杖</t>
    <rPh sb="4" eb="5">
      <t>ツエ</t>
    </rPh>
    <phoneticPr fontId="2"/>
  </si>
  <si>
    <t>Unique短剣</t>
    <rPh sb="6" eb="8">
      <t>タンケン</t>
    </rPh>
    <phoneticPr fontId="2"/>
  </si>
  <si>
    <t>Unique大剣</t>
    <rPh sb="6" eb="8">
      <t>タイケン</t>
    </rPh>
    <phoneticPr fontId="2"/>
  </si>
  <si>
    <t>Uniqueメイス</t>
    <phoneticPr fontId="2"/>
  </si>
  <si>
    <t>Unique杖</t>
    <rPh sb="6" eb="7">
      <t>ツエ</t>
    </rPh>
    <phoneticPr fontId="2"/>
  </si>
  <si>
    <t>Legendary短剣</t>
    <rPh sb="9" eb="11">
      <t>タンケン</t>
    </rPh>
    <phoneticPr fontId="2"/>
  </si>
  <si>
    <t>Legendary大剣</t>
    <rPh sb="9" eb="11">
      <t>タイケン</t>
    </rPh>
    <phoneticPr fontId="2"/>
  </si>
  <si>
    <t>Legendaryメイス</t>
    <phoneticPr fontId="2"/>
  </si>
  <si>
    <t>Legendary杖</t>
    <rPh sb="9" eb="10">
      <t>ツエ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</si>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</sst>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"/>
  <sheetViews>
    <sheetView topLeftCell="A10" zoomScaleNormal="100" workbookViewId="0">
      <selection activeCell="F17" sqref="F17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ht="25.5" customHeight="1" x14ac:dyDescent="0.4">
      <c r="A2">
        <v>0</v>
      </c>
      <c r="B2" t="s">
        <v>15</v>
      </c>
      <c r="C2">
        <v>1</v>
      </c>
      <c r="D2">
        <v>1</v>
      </c>
      <c r="E2">
        <v>5</v>
      </c>
      <c r="F2" t="s">
        <v>15</v>
      </c>
      <c r="G2">
        <v>5</v>
      </c>
      <c r="H2" t="str">
        <f>IF(G2=0,"Helmet",IF(G2=1,"Armor",IF(G2=2,"Gauntlet",IF(G2=3,"Shoes",IF(G2=4,"Weapon","None")))))</f>
        <v>None</v>
      </c>
      <c r="I2">
        <v>30</v>
      </c>
    </row>
    <row r="3" spans="1:9" ht="25.5" customHeight="1" x14ac:dyDescent="0.4">
      <c r="A3">
        <v>1</v>
      </c>
      <c r="B3" t="s">
        <v>16</v>
      </c>
      <c r="C3">
        <v>1</v>
      </c>
      <c r="D3">
        <v>1</v>
      </c>
      <c r="E3">
        <v>5</v>
      </c>
      <c r="F3" t="s">
        <v>16</v>
      </c>
      <c r="G3">
        <v>1</v>
      </c>
      <c r="H3" t="str">
        <f>IF(G3=0,"Helmet",IF(G3=1,"Armor",IF(G3=2,"Gauntlet",IF(G3=3,"Shoes",IF(G3=4,"Weapon","None")))))</f>
        <v>Armor</v>
      </c>
      <c r="I3">
        <v>10</v>
      </c>
    </row>
    <row r="4" spans="1:9" ht="25.5" customHeight="1" x14ac:dyDescent="0.4">
      <c r="A4">
        <v>2</v>
      </c>
      <c r="B4" t="s">
        <v>81</v>
      </c>
      <c r="C4">
        <v>1</v>
      </c>
      <c r="D4">
        <v>1</v>
      </c>
      <c r="E4">
        <v>2</v>
      </c>
      <c r="F4" t="s">
        <v>85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50</v>
      </c>
    </row>
    <row r="5" spans="1:9" ht="25.5" customHeight="1" x14ac:dyDescent="0.4">
      <c r="A5">
        <v>3</v>
      </c>
      <c r="B5" t="s">
        <v>82</v>
      </c>
      <c r="C5">
        <v>1</v>
      </c>
      <c r="D5">
        <v>3</v>
      </c>
      <c r="E5">
        <v>2</v>
      </c>
      <c r="F5" t="s">
        <v>82</v>
      </c>
      <c r="G5">
        <v>4</v>
      </c>
      <c r="H5" t="str">
        <f t="shared" si="0"/>
        <v>Weapon</v>
      </c>
      <c r="I5">
        <v>50</v>
      </c>
    </row>
    <row r="6" spans="1:9" ht="25.5" customHeight="1" x14ac:dyDescent="0.4">
      <c r="A6">
        <v>4</v>
      </c>
      <c r="B6" t="s">
        <v>83</v>
      </c>
      <c r="C6">
        <v>1</v>
      </c>
      <c r="D6">
        <v>2</v>
      </c>
      <c r="E6">
        <v>2</v>
      </c>
      <c r="F6" t="s">
        <v>83</v>
      </c>
      <c r="G6">
        <v>4</v>
      </c>
      <c r="H6" t="str">
        <f t="shared" si="0"/>
        <v>Weapon</v>
      </c>
      <c r="I6">
        <v>50</v>
      </c>
    </row>
    <row r="7" spans="1:9" ht="24.75" customHeight="1" x14ac:dyDescent="0.4">
      <c r="A7">
        <v>5</v>
      </c>
      <c r="B7" t="s">
        <v>84</v>
      </c>
      <c r="C7">
        <v>1</v>
      </c>
      <c r="D7">
        <v>2</v>
      </c>
      <c r="E7">
        <v>2</v>
      </c>
      <c r="F7" t="s">
        <v>84</v>
      </c>
      <c r="G7">
        <v>4</v>
      </c>
      <c r="H7" t="str">
        <f t="shared" si="0"/>
        <v>Weapon</v>
      </c>
      <c r="I7">
        <v>50</v>
      </c>
    </row>
    <row r="8" spans="1:9" ht="24.75" customHeight="1" x14ac:dyDescent="0.4">
      <c r="A8">
        <v>6</v>
      </c>
      <c r="B8" t="s">
        <v>98</v>
      </c>
      <c r="C8">
        <v>1</v>
      </c>
      <c r="D8">
        <v>1</v>
      </c>
      <c r="E8">
        <v>20</v>
      </c>
      <c r="F8" t="s">
        <v>24</v>
      </c>
      <c r="G8">
        <v>5</v>
      </c>
      <c r="H8" t="str">
        <f t="shared" ref="H8:H19" si="1">IF(G8=0,"Helmet",IF(G8=1,"Armor",IF(G8=2,"Gauntlet",IF(G8=3,"Shoes",IF(G8=4,"Weapon","None")))))</f>
        <v>None</v>
      </c>
      <c r="I8">
        <v>5</v>
      </c>
    </row>
    <row r="9" spans="1:9" ht="25.5" customHeight="1" x14ac:dyDescent="0.4">
      <c r="A9">
        <v>7</v>
      </c>
      <c r="B9" t="s">
        <v>25</v>
      </c>
      <c r="C9">
        <v>1</v>
      </c>
      <c r="D9">
        <v>2</v>
      </c>
      <c r="E9">
        <v>5</v>
      </c>
      <c r="F9" t="s">
        <v>25</v>
      </c>
      <c r="G9">
        <v>5</v>
      </c>
      <c r="H9" t="str">
        <f t="shared" si="1"/>
        <v>None</v>
      </c>
      <c r="I9">
        <v>10</v>
      </c>
    </row>
    <row r="10" spans="1:9" ht="25.5" customHeight="1" x14ac:dyDescent="0.4">
      <c r="A10">
        <v>8</v>
      </c>
      <c r="B10" t="s">
        <v>26</v>
      </c>
      <c r="C10">
        <v>1</v>
      </c>
      <c r="D10">
        <v>1</v>
      </c>
      <c r="E10">
        <v>10</v>
      </c>
      <c r="F10" t="s">
        <v>26</v>
      </c>
      <c r="G10">
        <v>5</v>
      </c>
      <c r="H10" t="str">
        <f t="shared" si="1"/>
        <v>None</v>
      </c>
      <c r="I10">
        <v>3</v>
      </c>
    </row>
    <row r="11" spans="1:9" ht="25.5" customHeight="1" x14ac:dyDescent="0.4">
      <c r="A11">
        <v>9</v>
      </c>
      <c r="B11" t="s">
        <v>27</v>
      </c>
      <c r="C11">
        <v>1</v>
      </c>
      <c r="D11">
        <v>1</v>
      </c>
      <c r="E11">
        <v>8</v>
      </c>
      <c r="F11" t="s">
        <v>27</v>
      </c>
      <c r="G11">
        <v>5</v>
      </c>
      <c r="H11" t="str">
        <f t="shared" si="1"/>
        <v>None</v>
      </c>
      <c r="I11">
        <v>20</v>
      </c>
    </row>
    <row r="12" spans="1:9" ht="25.5" customHeight="1" x14ac:dyDescent="0.4">
      <c r="A12">
        <v>10</v>
      </c>
      <c r="B12" t="s">
        <v>28</v>
      </c>
      <c r="C12">
        <v>1</v>
      </c>
      <c r="D12">
        <v>1</v>
      </c>
      <c r="E12">
        <v>8</v>
      </c>
      <c r="F12" t="s">
        <v>28</v>
      </c>
      <c r="G12">
        <v>5</v>
      </c>
      <c r="H12" t="str">
        <f t="shared" si="1"/>
        <v>None</v>
      </c>
      <c r="I12">
        <v>25</v>
      </c>
    </row>
    <row r="13" spans="1:9" ht="25.5" customHeight="1" x14ac:dyDescent="0.4">
      <c r="A13">
        <v>11</v>
      </c>
      <c r="B13" t="s">
        <v>29</v>
      </c>
      <c r="C13">
        <v>1</v>
      </c>
      <c r="D13">
        <v>1</v>
      </c>
      <c r="E13">
        <v>15</v>
      </c>
      <c r="F13" t="s">
        <v>29</v>
      </c>
      <c r="G13">
        <v>5</v>
      </c>
      <c r="H13" t="str">
        <f t="shared" si="1"/>
        <v>None</v>
      </c>
      <c r="I13">
        <v>5</v>
      </c>
    </row>
    <row r="14" spans="1:9" ht="25.5" customHeight="1" x14ac:dyDescent="0.4">
      <c r="A14">
        <v>12</v>
      </c>
      <c r="B14" t="s">
        <v>30</v>
      </c>
      <c r="C14">
        <v>2</v>
      </c>
      <c r="D14">
        <v>2</v>
      </c>
      <c r="E14">
        <v>3</v>
      </c>
      <c r="F14" t="s">
        <v>30</v>
      </c>
      <c r="G14">
        <v>5</v>
      </c>
      <c r="H14" t="str">
        <f t="shared" si="1"/>
        <v>None</v>
      </c>
      <c r="I14">
        <v>10</v>
      </c>
    </row>
    <row r="15" spans="1:9" ht="25.5" customHeight="1" x14ac:dyDescent="0.4">
      <c r="A15">
        <v>13</v>
      </c>
      <c r="B15" t="s">
        <v>31</v>
      </c>
      <c r="C15">
        <v>1</v>
      </c>
      <c r="D15">
        <v>1</v>
      </c>
      <c r="E15">
        <v>3</v>
      </c>
      <c r="F15" t="s">
        <v>31</v>
      </c>
      <c r="G15">
        <v>5</v>
      </c>
      <c r="H15" t="str">
        <f t="shared" si="1"/>
        <v>None</v>
      </c>
      <c r="I15">
        <v>30</v>
      </c>
    </row>
    <row r="16" spans="1:9" ht="25.5" customHeight="1" x14ac:dyDescent="0.4">
      <c r="A16">
        <v>14</v>
      </c>
      <c r="B16" t="s">
        <v>99</v>
      </c>
      <c r="C16">
        <v>1</v>
      </c>
      <c r="D16">
        <v>1</v>
      </c>
      <c r="E16">
        <v>2</v>
      </c>
      <c r="F16" t="s">
        <v>99</v>
      </c>
      <c r="G16">
        <v>5</v>
      </c>
      <c r="H16" t="str">
        <f t="shared" si="1"/>
        <v>None</v>
      </c>
      <c r="I16">
        <v>40</v>
      </c>
    </row>
    <row r="17" spans="1:9" ht="25.5" customHeight="1" x14ac:dyDescent="0.4">
      <c r="A17">
        <v>15</v>
      </c>
      <c r="B17" t="s">
        <v>32</v>
      </c>
      <c r="C17">
        <v>1</v>
      </c>
      <c r="D17">
        <v>1</v>
      </c>
      <c r="E17">
        <v>2</v>
      </c>
      <c r="F17" t="s">
        <v>32</v>
      </c>
      <c r="G17">
        <v>5</v>
      </c>
      <c r="H17" t="str">
        <f t="shared" si="1"/>
        <v>None</v>
      </c>
      <c r="I17">
        <v>35</v>
      </c>
    </row>
    <row r="18" spans="1:9" ht="25.5" customHeight="1" x14ac:dyDescent="0.4">
      <c r="A18">
        <v>16</v>
      </c>
      <c r="B18" t="s">
        <v>33</v>
      </c>
      <c r="C18">
        <v>1</v>
      </c>
      <c r="D18">
        <v>1</v>
      </c>
      <c r="E18">
        <v>1</v>
      </c>
      <c r="F18" t="s">
        <v>33</v>
      </c>
      <c r="G18">
        <v>5</v>
      </c>
      <c r="H18" t="str">
        <f t="shared" si="1"/>
        <v>None</v>
      </c>
      <c r="I18">
        <v>5</v>
      </c>
    </row>
    <row r="19" spans="1:9" ht="25.5" customHeight="1" x14ac:dyDescent="0.4">
      <c r="A19">
        <v>17</v>
      </c>
      <c r="B19" t="s">
        <v>34</v>
      </c>
      <c r="C19">
        <v>1</v>
      </c>
      <c r="D19">
        <v>1</v>
      </c>
      <c r="E19">
        <v>1</v>
      </c>
      <c r="F19" t="s">
        <v>34</v>
      </c>
      <c r="G19">
        <v>5</v>
      </c>
      <c r="H19" t="str">
        <f t="shared" si="1"/>
        <v>None</v>
      </c>
      <c r="I19">
        <v>50</v>
      </c>
    </row>
    <row r="20" spans="1:9" ht="25.5" customHeight="1" x14ac:dyDescent="0.4">
      <c r="A20">
        <v>18</v>
      </c>
      <c r="B20" t="s">
        <v>35</v>
      </c>
      <c r="C20">
        <v>1</v>
      </c>
      <c r="D20">
        <v>2</v>
      </c>
      <c r="E20">
        <f>100-SUM(E2:E19)</f>
        <v>4</v>
      </c>
      <c r="F20" t="s">
        <v>35</v>
      </c>
      <c r="G20">
        <v>5</v>
      </c>
      <c r="H20" t="str">
        <f>IF(G20=0,"Helmet",IF(G20=1,"Armor",IF(G20=2,"Gauntlet",IF(G20=3,"Shoes",IF(G20=4,"Weapon","None")))))</f>
        <v>None</v>
      </c>
      <c r="I20">
        <v>50</v>
      </c>
    </row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  <row r="102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topLeftCell="A13" zoomScaleNormal="100" workbookViewId="0">
      <selection activeCell="E23" sqref="E23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17</v>
      </c>
      <c r="C2">
        <v>1</v>
      </c>
      <c r="D2">
        <v>1</v>
      </c>
      <c r="E2">
        <v>5</v>
      </c>
      <c r="F2" t="s">
        <v>17</v>
      </c>
      <c r="G2">
        <v>2</v>
      </c>
      <c r="H2" t="str">
        <f>IF(G2=0,"Helmet",IF(G2=1,"Armor",IF(G2=2,"Gauntlet",IF(G2=3,"Shoes",IF(G2=4,"Weapon","None")))))</f>
        <v>Gauntlet</v>
      </c>
      <c r="I2">
        <v>100</v>
      </c>
    </row>
    <row r="3" spans="1:9" x14ac:dyDescent="0.4">
      <c r="A3">
        <v>1</v>
      </c>
      <c r="B3" t="s">
        <v>23</v>
      </c>
      <c r="C3">
        <v>1</v>
      </c>
      <c r="D3">
        <v>1</v>
      </c>
      <c r="E3">
        <v>5</v>
      </c>
      <c r="F3" t="s">
        <v>18</v>
      </c>
      <c r="G3">
        <v>0</v>
      </c>
      <c r="H3" t="str">
        <f>IF(G3=0,"Helmet",IF(G3=1,"Armor",IF(G3=2,"Gauntlet",IF(G3=3,"Shoes",IF(G3=4,"Weapon","None")))))</f>
        <v>Helmet</v>
      </c>
      <c r="I3">
        <v>80</v>
      </c>
    </row>
    <row r="4" spans="1:9" x14ac:dyDescent="0.4">
      <c r="A4">
        <v>2</v>
      </c>
      <c r="B4" t="s">
        <v>86</v>
      </c>
      <c r="C4">
        <v>1</v>
      </c>
      <c r="D4">
        <v>1</v>
      </c>
      <c r="E4">
        <v>2</v>
      </c>
      <c r="F4" t="s">
        <v>86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200</v>
      </c>
    </row>
    <row r="5" spans="1:9" x14ac:dyDescent="0.4">
      <c r="A5">
        <v>3</v>
      </c>
      <c r="B5" t="s">
        <v>87</v>
      </c>
      <c r="C5">
        <v>1</v>
      </c>
      <c r="D5">
        <v>3</v>
      </c>
      <c r="E5">
        <v>2</v>
      </c>
      <c r="F5" t="s">
        <v>87</v>
      </c>
      <c r="G5">
        <v>4</v>
      </c>
      <c r="H5" t="str">
        <f t="shared" si="0"/>
        <v>Weapon</v>
      </c>
      <c r="I5">
        <v>200</v>
      </c>
    </row>
    <row r="6" spans="1:9" x14ac:dyDescent="0.4">
      <c r="A6">
        <v>4</v>
      </c>
      <c r="B6" t="s">
        <v>88</v>
      </c>
      <c r="C6">
        <v>1</v>
      </c>
      <c r="D6">
        <v>2</v>
      </c>
      <c r="E6">
        <v>2</v>
      </c>
      <c r="F6" t="s">
        <v>88</v>
      </c>
      <c r="G6">
        <v>4</v>
      </c>
      <c r="H6" t="str">
        <f t="shared" si="0"/>
        <v>Weapon</v>
      </c>
      <c r="I6">
        <v>200</v>
      </c>
    </row>
    <row r="7" spans="1:9" x14ac:dyDescent="0.4">
      <c r="A7">
        <v>5</v>
      </c>
      <c r="B7" t="s">
        <v>89</v>
      </c>
      <c r="C7">
        <v>1</v>
      </c>
      <c r="D7">
        <v>2</v>
      </c>
      <c r="E7">
        <v>2</v>
      </c>
      <c r="F7" t="s">
        <v>89</v>
      </c>
      <c r="G7">
        <v>4</v>
      </c>
      <c r="H7" t="str">
        <f t="shared" si="0"/>
        <v>Weapon</v>
      </c>
      <c r="I7">
        <v>200</v>
      </c>
    </row>
    <row r="8" spans="1:9" x14ac:dyDescent="0.4">
      <c r="A8">
        <v>6</v>
      </c>
      <c r="B8" t="s">
        <v>36</v>
      </c>
      <c r="C8">
        <v>1</v>
      </c>
      <c r="D8">
        <v>1</v>
      </c>
      <c r="E8">
        <v>3</v>
      </c>
      <c r="F8" t="s">
        <v>36</v>
      </c>
      <c r="G8">
        <v>5</v>
      </c>
      <c r="H8" t="str">
        <f t="shared" ref="H8:H29" si="1">IF(G8=0,"Helmet",IF(G8=1,"Armor",IF(G8=2,"Gauntlet",IF(G8=3,"Shoes",IF(G8=4,"Weapon","None")))))</f>
        <v>None</v>
      </c>
      <c r="I8">
        <v>150</v>
      </c>
    </row>
    <row r="9" spans="1:9" x14ac:dyDescent="0.4">
      <c r="A9">
        <v>7</v>
      </c>
      <c r="B9" t="s">
        <v>37</v>
      </c>
      <c r="C9">
        <v>1</v>
      </c>
      <c r="D9">
        <v>1</v>
      </c>
      <c r="E9">
        <v>3</v>
      </c>
      <c r="F9" t="s">
        <v>37</v>
      </c>
      <c r="G9">
        <v>5</v>
      </c>
      <c r="H9" t="str">
        <f t="shared" si="1"/>
        <v>None</v>
      </c>
      <c r="I9">
        <v>150</v>
      </c>
    </row>
    <row r="10" spans="1:9" x14ac:dyDescent="0.4">
      <c r="A10">
        <v>8</v>
      </c>
      <c r="B10" t="s">
        <v>38</v>
      </c>
      <c r="C10">
        <v>1</v>
      </c>
      <c r="D10">
        <v>1</v>
      </c>
      <c r="E10">
        <v>3</v>
      </c>
      <c r="F10" t="s">
        <v>38</v>
      </c>
      <c r="G10">
        <v>5</v>
      </c>
      <c r="H10" t="str">
        <f t="shared" si="1"/>
        <v>None</v>
      </c>
      <c r="I10">
        <v>150</v>
      </c>
    </row>
    <row r="11" spans="1:9" x14ac:dyDescent="0.4">
      <c r="A11">
        <v>9</v>
      </c>
      <c r="B11" t="s">
        <v>39</v>
      </c>
      <c r="C11">
        <v>1</v>
      </c>
      <c r="D11">
        <v>1</v>
      </c>
      <c r="E11">
        <v>3</v>
      </c>
      <c r="F11" t="s">
        <v>39</v>
      </c>
      <c r="G11">
        <v>5</v>
      </c>
      <c r="H11" t="str">
        <f t="shared" si="1"/>
        <v>None</v>
      </c>
      <c r="I11">
        <v>150</v>
      </c>
    </row>
    <row r="12" spans="1:9" x14ac:dyDescent="0.4">
      <c r="A12">
        <v>10</v>
      </c>
      <c r="B12" t="s">
        <v>40</v>
      </c>
      <c r="C12">
        <v>1</v>
      </c>
      <c r="D12">
        <v>1</v>
      </c>
      <c r="E12">
        <v>3</v>
      </c>
      <c r="F12" t="s">
        <v>40</v>
      </c>
      <c r="G12">
        <v>5</v>
      </c>
      <c r="H12" t="str">
        <f t="shared" si="1"/>
        <v>None</v>
      </c>
      <c r="I12">
        <v>200</v>
      </c>
    </row>
    <row r="13" spans="1:9" x14ac:dyDescent="0.4">
      <c r="A13">
        <v>11</v>
      </c>
      <c r="B13" t="s">
        <v>41</v>
      </c>
      <c r="C13">
        <v>1</v>
      </c>
      <c r="D13">
        <v>1</v>
      </c>
      <c r="E13">
        <v>3</v>
      </c>
      <c r="F13" t="s">
        <v>41</v>
      </c>
      <c r="G13">
        <v>5</v>
      </c>
      <c r="H13" t="str">
        <f t="shared" si="1"/>
        <v>None</v>
      </c>
      <c r="I13">
        <v>230</v>
      </c>
    </row>
    <row r="14" spans="1:9" x14ac:dyDescent="0.4">
      <c r="A14">
        <v>12</v>
      </c>
      <c r="B14" t="s">
        <v>42</v>
      </c>
      <c r="C14">
        <v>1</v>
      </c>
      <c r="D14">
        <v>1</v>
      </c>
      <c r="E14">
        <v>3</v>
      </c>
      <c r="F14" t="s">
        <v>42</v>
      </c>
      <c r="G14">
        <v>5</v>
      </c>
      <c r="H14" t="str">
        <f t="shared" si="1"/>
        <v>None</v>
      </c>
      <c r="I14">
        <v>200</v>
      </c>
    </row>
    <row r="15" spans="1:9" x14ac:dyDescent="0.4">
      <c r="A15">
        <v>13</v>
      </c>
      <c r="B15" t="s">
        <v>43</v>
      </c>
      <c r="C15">
        <v>1</v>
      </c>
      <c r="D15">
        <v>1</v>
      </c>
      <c r="E15">
        <v>3</v>
      </c>
      <c r="F15" t="s">
        <v>43</v>
      </c>
      <c r="G15">
        <v>5</v>
      </c>
      <c r="H15" t="str">
        <f t="shared" si="1"/>
        <v>None</v>
      </c>
      <c r="I15">
        <v>230</v>
      </c>
    </row>
    <row r="16" spans="1:9" x14ac:dyDescent="0.4">
      <c r="A16">
        <v>14</v>
      </c>
      <c r="B16" t="s">
        <v>44</v>
      </c>
      <c r="C16">
        <v>1</v>
      </c>
      <c r="D16">
        <v>1</v>
      </c>
      <c r="E16">
        <v>3</v>
      </c>
      <c r="F16" t="s">
        <v>44</v>
      </c>
      <c r="G16">
        <v>5</v>
      </c>
      <c r="H16" t="str">
        <f t="shared" si="1"/>
        <v>None</v>
      </c>
      <c r="I16">
        <v>150</v>
      </c>
    </row>
    <row r="17" spans="1:9" x14ac:dyDescent="0.4">
      <c r="A17">
        <v>15</v>
      </c>
      <c r="B17" t="s">
        <v>45</v>
      </c>
      <c r="C17">
        <v>1</v>
      </c>
      <c r="D17">
        <v>1</v>
      </c>
      <c r="E17">
        <v>3</v>
      </c>
      <c r="F17" t="s">
        <v>45</v>
      </c>
      <c r="G17">
        <v>5</v>
      </c>
      <c r="H17" t="str">
        <f>IF(G17=0,"Helmet",IF(G17=1,"Armor",IF(G17=2,"Gauntlet",IF(G17=3,"Shoes",IF(G17=4,"Weapon","None")))))</f>
        <v>None</v>
      </c>
      <c r="I17">
        <v>200</v>
      </c>
    </row>
    <row r="18" spans="1:9" x14ac:dyDescent="0.4">
      <c r="A18">
        <v>16</v>
      </c>
      <c r="B18" t="s">
        <v>57</v>
      </c>
      <c r="C18">
        <v>1</v>
      </c>
      <c r="D18">
        <v>1</v>
      </c>
      <c r="E18">
        <v>3</v>
      </c>
      <c r="F18" t="s">
        <v>57</v>
      </c>
      <c r="G18">
        <v>5</v>
      </c>
      <c r="H18" t="str">
        <f>IF(G18=0,"Helmet",IF(G18=1,"Armor",IF(G18=2,"Gauntlet",IF(G18=3,"Shoes",IF(G18=4,"Weapon","None")))))</f>
        <v>None</v>
      </c>
      <c r="I18">
        <v>170</v>
      </c>
    </row>
    <row r="19" spans="1:9" x14ac:dyDescent="0.4">
      <c r="A19">
        <v>17</v>
      </c>
      <c r="B19" t="s">
        <v>46</v>
      </c>
      <c r="C19">
        <v>1</v>
      </c>
      <c r="D19">
        <v>1</v>
      </c>
      <c r="E19">
        <v>3</v>
      </c>
      <c r="F19" t="s">
        <v>46</v>
      </c>
      <c r="G19">
        <v>5</v>
      </c>
      <c r="H19" t="str">
        <f t="shared" si="1"/>
        <v>None</v>
      </c>
      <c r="I19">
        <v>170</v>
      </c>
    </row>
    <row r="20" spans="1:9" x14ac:dyDescent="0.4">
      <c r="A20">
        <v>18</v>
      </c>
      <c r="B20" t="s">
        <v>47</v>
      </c>
      <c r="C20">
        <v>1</v>
      </c>
      <c r="D20">
        <v>1</v>
      </c>
      <c r="E20">
        <v>3</v>
      </c>
      <c r="F20" t="s">
        <v>47</v>
      </c>
      <c r="G20">
        <v>5</v>
      </c>
      <c r="H20" t="str">
        <f t="shared" si="1"/>
        <v>None</v>
      </c>
      <c r="I20">
        <v>170</v>
      </c>
    </row>
    <row r="21" spans="1:9" x14ac:dyDescent="0.4">
      <c r="A21">
        <v>19</v>
      </c>
      <c r="B21" t="s">
        <v>48</v>
      </c>
      <c r="C21">
        <v>1</v>
      </c>
      <c r="D21">
        <v>1</v>
      </c>
      <c r="E21">
        <v>3</v>
      </c>
      <c r="F21" t="s">
        <v>48</v>
      </c>
      <c r="G21">
        <v>5</v>
      </c>
      <c r="H21" t="str">
        <f t="shared" si="1"/>
        <v>None</v>
      </c>
      <c r="I21">
        <v>130</v>
      </c>
    </row>
    <row r="22" spans="1:9" x14ac:dyDescent="0.4">
      <c r="A22">
        <v>20</v>
      </c>
      <c r="B22" t="s">
        <v>49</v>
      </c>
      <c r="C22">
        <v>1</v>
      </c>
      <c r="D22">
        <v>1</v>
      </c>
      <c r="E22">
        <v>3</v>
      </c>
      <c r="F22" t="s">
        <v>49</v>
      </c>
      <c r="G22">
        <v>5</v>
      </c>
      <c r="H22" t="str">
        <f t="shared" si="1"/>
        <v>None</v>
      </c>
      <c r="I22">
        <v>120</v>
      </c>
    </row>
    <row r="23" spans="1:9" x14ac:dyDescent="0.4">
      <c r="A23">
        <v>21</v>
      </c>
      <c r="B23" t="s">
        <v>50</v>
      </c>
      <c r="C23">
        <v>1</v>
      </c>
      <c r="D23">
        <v>1</v>
      </c>
      <c r="E23">
        <v>3</v>
      </c>
      <c r="F23" t="s">
        <v>50</v>
      </c>
      <c r="G23">
        <v>5</v>
      </c>
      <c r="H23" t="str">
        <f t="shared" si="1"/>
        <v>None</v>
      </c>
      <c r="I23">
        <v>220</v>
      </c>
    </row>
    <row r="24" spans="1:9" x14ac:dyDescent="0.4">
      <c r="A24">
        <v>22</v>
      </c>
      <c r="B24" t="s">
        <v>51</v>
      </c>
      <c r="C24">
        <v>1</v>
      </c>
      <c r="D24">
        <v>1</v>
      </c>
      <c r="E24">
        <v>3</v>
      </c>
      <c r="F24" t="s">
        <v>51</v>
      </c>
      <c r="G24">
        <v>5</v>
      </c>
      <c r="H24" t="str">
        <f t="shared" si="1"/>
        <v>None</v>
      </c>
      <c r="I24">
        <v>150</v>
      </c>
    </row>
    <row r="25" spans="1:9" x14ac:dyDescent="0.4">
      <c r="A25">
        <v>23</v>
      </c>
      <c r="B25" t="s">
        <v>52</v>
      </c>
      <c r="C25">
        <v>1</v>
      </c>
      <c r="D25">
        <v>1</v>
      </c>
      <c r="E25">
        <v>3</v>
      </c>
      <c r="F25" t="s">
        <v>52</v>
      </c>
      <c r="G25">
        <v>5</v>
      </c>
      <c r="H25" t="str">
        <f t="shared" si="1"/>
        <v>None</v>
      </c>
      <c r="I25">
        <v>150</v>
      </c>
    </row>
    <row r="26" spans="1:9" x14ac:dyDescent="0.4">
      <c r="A26">
        <v>24</v>
      </c>
      <c r="B26" t="s">
        <v>53</v>
      </c>
      <c r="C26">
        <v>1</v>
      </c>
      <c r="D26">
        <v>1</v>
      </c>
      <c r="E26">
        <v>3</v>
      </c>
      <c r="F26" t="s">
        <v>53</v>
      </c>
      <c r="G26">
        <v>5</v>
      </c>
      <c r="H26" t="str">
        <f t="shared" si="1"/>
        <v>None</v>
      </c>
      <c r="I26">
        <v>180</v>
      </c>
    </row>
    <row r="27" spans="1:9" x14ac:dyDescent="0.4">
      <c r="A27">
        <v>25</v>
      </c>
      <c r="B27" t="s">
        <v>54</v>
      </c>
      <c r="C27">
        <v>1</v>
      </c>
      <c r="D27">
        <v>1</v>
      </c>
      <c r="E27">
        <v>3</v>
      </c>
      <c r="F27" t="s">
        <v>54</v>
      </c>
      <c r="G27">
        <v>5</v>
      </c>
      <c r="H27" t="str">
        <f t="shared" si="1"/>
        <v>None</v>
      </c>
      <c r="I27">
        <v>150</v>
      </c>
    </row>
    <row r="28" spans="1:9" x14ac:dyDescent="0.4">
      <c r="A28">
        <v>26</v>
      </c>
      <c r="B28" t="s">
        <v>55</v>
      </c>
      <c r="C28">
        <v>1</v>
      </c>
      <c r="D28">
        <v>1</v>
      </c>
      <c r="E28">
        <v>3</v>
      </c>
      <c r="F28" t="s">
        <v>55</v>
      </c>
      <c r="G28">
        <v>5</v>
      </c>
      <c r="H28" t="str">
        <f t="shared" si="1"/>
        <v>None</v>
      </c>
      <c r="I28">
        <v>170</v>
      </c>
    </row>
    <row r="29" spans="1:9" x14ac:dyDescent="0.4">
      <c r="A29">
        <v>27</v>
      </c>
      <c r="B29" t="s">
        <v>56</v>
      </c>
      <c r="C29">
        <v>1</v>
      </c>
      <c r="D29">
        <v>1</v>
      </c>
      <c r="E29">
        <f>100-SUM(E2:E28)</f>
        <v>19</v>
      </c>
      <c r="F29" t="s">
        <v>56</v>
      </c>
      <c r="G29">
        <v>5</v>
      </c>
      <c r="H29" t="str">
        <f t="shared" si="1"/>
        <v>None</v>
      </c>
      <c r="I29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Normal="100" workbookViewId="0">
      <selection activeCell="B4" sqref="B4:I7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19</v>
      </c>
      <c r="C2">
        <v>1</v>
      </c>
      <c r="D2">
        <v>1</v>
      </c>
      <c r="E2">
        <v>5</v>
      </c>
      <c r="F2" t="s">
        <v>19</v>
      </c>
      <c r="G2">
        <v>3</v>
      </c>
      <c r="H2" t="str">
        <f>IF(G2=0,"Helmet",IF(G2=1,"Armor",IF(G2=2,"Gauntlet",IF(G2=3,"Shoes",IF(G2=4,"Weapon","None")))))</f>
        <v>Shoes</v>
      </c>
      <c r="I2">
        <v>300</v>
      </c>
    </row>
    <row r="3" spans="1:9" x14ac:dyDescent="0.4">
      <c r="A3">
        <v>1</v>
      </c>
      <c r="B3" t="s">
        <v>20</v>
      </c>
      <c r="C3">
        <v>1</v>
      </c>
      <c r="D3">
        <v>1</v>
      </c>
      <c r="E3">
        <v>5</v>
      </c>
      <c r="F3" t="s">
        <v>20</v>
      </c>
      <c r="G3">
        <v>4</v>
      </c>
      <c r="H3" t="str">
        <f>IF(G3=0,"Helmet",IF(G3=1,"Armor",IF(G3=2,"Gauntlet",IF(G3=3,"Shoes",IF(G3=4,"Weapon","None")))))</f>
        <v>Weapon</v>
      </c>
      <c r="I3">
        <v>500</v>
      </c>
    </row>
    <row r="4" spans="1:9" x14ac:dyDescent="0.4">
      <c r="A4">
        <v>2</v>
      </c>
      <c r="B4" t="s">
        <v>90</v>
      </c>
      <c r="C4">
        <v>1</v>
      </c>
      <c r="D4">
        <v>1</v>
      </c>
      <c r="E4">
        <v>2</v>
      </c>
      <c r="F4" t="s">
        <v>90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500</v>
      </c>
    </row>
    <row r="5" spans="1:9" x14ac:dyDescent="0.4">
      <c r="A5">
        <v>3</v>
      </c>
      <c r="B5" t="s">
        <v>91</v>
      </c>
      <c r="C5">
        <v>1</v>
      </c>
      <c r="D5">
        <v>3</v>
      </c>
      <c r="E5">
        <v>2</v>
      </c>
      <c r="F5" t="s">
        <v>91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92</v>
      </c>
      <c r="C6">
        <v>1</v>
      </c>
      <c r="D6">
        <v>2</v>
      </c>
      <c r="E6">
        <v>2</v>
      </c>
      <c r="F6" t="s">
        <v>92</v>
      </c>
      <c r="G6">
        <v>4</v>
      </c>
      <c r="H6" t="str">
        <f t="shared" si="0"/>
        <v>Weapon</v>
      </c>
      <c r="I6">
        <v>500</v>
      </c>
    </row>
    <row r="7" spans="1:9" x14ac:dyDescent="0.4">
      <c r="A7">
        <v>5</v>
      </c>
      <c r="B7" t="s">
        <v>93</v>
      </c>
      <c r="C7">
        <v>1</v>
      </c>
      <c r="D7">
        <v>2</v>
      </c>
      <c r="E7">
        <v>2</v>
      </c>
      <c r="F7" t="s">
        <v>93</v>
      </c>
      <c r="G7">
        <v>4</v>
      </c>
      <c r="H7" t="str">
        <f t="shared" si="0"/>
        <v>Weapon</v>
      </c>
      <c r="I7">
        <v>500</v>
      </c>
    </row>
    <row r="8" spans="1:9" x14ac:dyDescent="0.4">
      <c r="A8">
        <v>6</v>
      </c>
      <c r="B8" t="s">
        <v>58</v>
      </c>
      <c r="C8">
        <v>1</v>
      </c>
      <c r="D8">
        <v>1</v>
      </c>
      <c r="E8">
        <v>5</v>
      </c>
      <c r="F8" t="s">
        <v>58</v>
      </c>
      <c r="G8">
        <v>5</v>
      </c>
      <c r="H8" t="str">
        <f t="shared" ref="H8:H17" si="1">IF(G8=0,"Helmet",IF(G8=1,"Armor",IF(G8=2,"Gauntlet",IF(G8=3,"Shoes",IF(G8=4,"Weapon","None")))))</f>
        <v>None</v>
      </c>
      <c r="I8">
        <v>500</v>
      </c>
    </row>
    <row r="9" spans="1:9" x14ac:dyDescent="0.4">
      <c r="A9">
        <v>7</v>
      </c>
      <c r="B9" t="s">
        <v>59</v>
      </c>
      <c r="C9">
        <v>2</v>
      </c>
      <c r="D9">
        <v>2</v>
      </c>
      <c r="E9">
        <v>5</v>
      </c>
      <c r="F9" t="s">
        <v>59</v>
      </c>
      <c r="G9">
        <v>5</v>
      </c>
      <c r="H9" t="str">
        <f t="shared" si="1"/>
        <v>None</v>
      </c>
      <c r="I9">
        <v>800</v>
      </c>
    </row>
    <row r="10" spans="1:9" x14ac:dyDescent="0.4">
      <c r="A10">
        <v>8</v>
      </c>
      <c r="B10" t="s">
        <v>60</v>
      </c>
      <c r="C10">
        <v>2</v>
      </c>
      <c r="D10">
        <v>1</v>
      </c>
      <c r="E10">
        <v>5</v>
      </c>
      <c r="F10" t="s">
        <v>60</v>
      </c>
      <c r="G10">
        <v>5</v>
      </c>
      <c r="H10" t="str">
        <f t="shared" si="1"/>
        <v>None</v>
      </c>
      <c r="I10">
        <v>600</v>
      </c>
    </row>
    <row r="11" spans="1:9" x14ac:dyDescent="0.4">
      <c r="A11">
        <v>9</v>
      </c>
      <c r="B11" t="s">
        <v>61</v>
      </c>
      <c r="C11">
        <v>2</v>
      </c>
      <c r="D11">
        <v>2</v>
      </c>
      <c r="E11">
        <v>5</v>
      </c>
      <c r="F11" t="s">
        <v>61</v>
      </c>
      <c r="G11">
        <v>5</v>
      </c>
      <c r="H11" t="str">
        <f t="shared" si="1"/>
        <v>None</v>
      </c>
      <c r="I11">
        <v>1700</v>
      </c>
    </row>
    <row r="12" spans="1:9" x14ac:dyDescent="0.4">
      <c r="A12">
        <v>10</v>
      </c>
      <c r="B12" t="s">
        <v>62</v>
      </c>
      <c r="C12">
        <v>1</v>
      </c>
      <c r="D12">
        <v>1</v>
      </c>
      <c r="E12">
        <v>5</v>
      </c>
      <c r="F12" t="s">
        <v>62</v>
      </c>
      <c r="G12">
        <v>5</v>
      </c>
      <c r="H12" t="str">
        <f t="shared" si="1"/>
        <v>None</v>
      </c>
      <c r="I12">
        <v>620</v>
      </c>
    </row>
    <row r="13" spans="1:9" x14ac:dyDescent="0.4">
      <c r="A13">
        <v>11</v>
      </c>
      <c r="B13" t="s">
        <v>63</v>
      </c>
      <c r="C13">
        <v>2</v>
      </c>
      <c r="D13">
        <v>2</v>
      </c>
      <c r="E13">
        <v>5</v>
      </c>
      <c r="F13" t="s">
        <v>63</v>
      </c>
      <c r="G13">
        <v>5</v>
      </c>
      <c r="H13" t="str">
        <f t="shared" si="1"/>
        <v>None</v>
      </c>
      <c r="I13">
        <v>1500</v>
      </c>
    </row>
    <row r="14" spans="1:9" x14ac:dyDescent="0.4">
      <c r="A14">
        <v>12</v>
      </c>
      <c r="B14" t="s">
        <v>64</v>
      </c>
      <c r="C14">
        <v>2</v>
      </c>
      <c r="D14">
        <v>1</v>
      </c>
      <c r="E14">
        <v>5</v>
      </c>
      <c r="F14" t="s">
        <v>64</v>
      </c>
      <c r="G14">
        <v>5</v>
      </c>
      <c r="H14" t="str">
        <f t="shared" si="1"/>
        <v>None</v>
      </c>
      <c r="I14">
        <v>800</v>
      </c>
    </row>
    <row r="15" spans="1:9" x14ac:dyDescent="0.4">
      <c r="A15">
        <v>13</v>
      </c>
      <c r="B15" t="s">
        <v>65</v>
      </c>
      <c r="C15">
        <v>1</v>
      </c>
      <c r="D15">
        <v>1</v>
      </c>
      <c r="E15">
        <v>5</v>
      </c>
      <c r="F15" t="s">
        <v>65</v>
      </c>
      <c r="G15">
        <v>5</v>
      </c>
      <c r="H15" t="str">
        <f t="shared" si="1"/>
        <v>None</v>
      </c>
      <c r="I15">
        <v>800</v>
      </c>
    </row>
    <row r="16" spans="1:9" x14ac:dyDescent="0.4">
      <c r="A16">
        <v>14</v>
      </c>
      <c r="B16" t="s">
        <v>66</v>
      </c>
      <c r="C16">
        <v>2</v>
      </c>
      <c r="D16">
        <v>2</v>
      </c>
      <c r="E16">
        <v>5</v>
      </c>
      <c r="F16" t="s">
        <v>66</v>
      </c>
      <c r="G16">
        <v>5</v>
      </c>
      <c r="H16" t="str">
        <f t="shared" si="1"/>
        <v>None</v>
      </c>
      <c r="I16">
        <v>1200</v>
      </c>
    </row>
    <row r="17" spans="1:9" x14ac:dyDescent="0.4">
      <c r="A17">
        <v>15</v>
      </c>
      <c r="B17" t="s">
        <v>67</v>
      </c>
      <c r="C17">
        <v>2</v>
      </c>
      <c r="D17">
        <v>2</v>
      </c>
      <c r="E17">
        <f>100-SUM(E2:E16)</f>
        <v>37</v>
      </c>
      <c r="F17" t="s">
        <v>67</v>
      </c>
      <c r="G17">
        <v>5</v>
      </c>
      <c r="H17" t="str">
        <f t="shared" si="1"/>
        <v>None</v>
      </c>
      <c r="I17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zoomScaleNormal="100" workbookViewId="0">
      <selection activeCell="J6" sqref="J6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21</v>
      </c>
      <c r="C2">
        <v>1</v>
      </c>
      <c r="D2">
        <v>2</v>
      </c>
      <c r="E2">
        <v>5</v>
      </c>
      <c r="F2" t="s">
        <v>21</v>
      </c>
      <c r="G2">
        <v>5</v>
      </c>
      <c r="H2" t="str">
        <f>IF(G2=0,"Helmet",IF(G2=1,"Armor",IF(G2=2,"Gauntlet",IF(G2=3,"Shoes",IF(G2=4,"Weapon","None")))))</f>
        <v>None</v>
      </c>
      <c r="I2">
        <v>1000</v>
      </c>
    </row>
    <row r="3" spans="1:9" x14ac:dyDescent="0.4">
      <c r="A3">
        <v>1</v>
      </c>
      <c r="B3" t="s">
        <v>94</v>
      </c>
      <c r="C3">
        <v>1</v>
      </c>
      <c r="D3">
        <v>1</v>
      </c>
      <c r="E3">
        <v>2</v>
      </c>
      <c r="F3" t="s">
        <v>94</v>
      </c>
      <c r="G3">
        <v>4</v>
      </c>
      <c r="H3" t="str">
        <f t="shared" ref="H3:H6" si="0">IF(G3=0,"Helmet",IF(G3=1,"Armor",IF(G3=2,"Gauntlet",IF(G3=3,"Shoes",IF(G3=4,"Weapon","None")))))</f>
        <v>Weapon</v>
      </c>
      <c r="I3">
        <v>500</v>
      </c>
    </row>
    <row r="4" spans="1:9" x14ac:dyDescent="0.4">
      <c r="A4">
        <v>2</v>
      </c>
      <c r="B4" t="s">
        <v>95</v>
      </c>
      <c r="C4">
        <v>1</v>
      </c>
      <c r="D4">
        <v>3</v>
      </c>
      <c r="E4">
        <v>2</v>
      </c>
      <c r="F4" t="s">
        <v>95</v>
      </c>
      <c r="G4">
        <v>4</v>
      </c>
      <c r="H4" t="str">
        <f t="shared" si="0"/>
        <v>Weapon</v>
      </c>
      <c r="I4">
        <v>500</v>
      </c>
    </row>
    <row r="5" spans="1:9" x14ac:dyDescent="0.4">
      <c r="A5">
        <v>3</v>
      </c>
      <c r="B5" t="s">
        <v>96</v>
      </c>
      <c r="C5">
        <v>1</v>
      </c>
      <c r="D5">
        <v>2</v>
      </c>
      <c r="E5">
        <v>2</v>
      </c>
      <c r="F5" t="s">
        <v>96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97</v>
      </c>
      <c r="C6">
        <v>1</v>
      </c>
      <c r="D6">
        <v>2</v>
      </c>
      <c r="E6">
        <v>2</v>
      </c>
      <c r="F6" t="s">
        <v>97</v>
      </c>
      <c r="G6">
        <v>4</v>
      </c>
      <c r="H6" t="str">
        <f t="shared" si="0"/>
        <v>Weapon</v>
      </c>
      <c r="I6">
        <v>500</v>
      </c>
    </row>
    <row r="7" spans="1:9" x14ac:dyDescent="0.4">
      <c r="A7">
        <v>5</v>
      </c>
      <c r="B7" t="s">
        <v>68</v>
      </c>
      <c r="C7">
        <v>2</v>
      </c>
      <c r="D7">
        <v>2</v>
      </c>
      <c r="E7">
        <v>5</v>
      </c>
      <c r="F7" t="s">
        <v>68</v>
      </c>
      <c r="G7">
        <v>5</v>
      </c>
      <c r="H7" t="str">
        <f t="shared" ref="H7:H19" si="1">IF(G7=0,"Helmet",IF(G7=1,"Armor",IF(G7=2,"Gauntlet",IF(G7=3,"Shoes",IF(G7=4,"Weapon","None")))))</f>
        <v>None</v>
      </c>
      <c r="I7">
        <v>3400</v>
      </c>
    </row>
    <row r="8" spans="1:9" x14ac:dyDescent="0.4">
      <c r="A8">
        <v>6</v>
      </c>
      <c r="B8" t="s">
        <v>69</v>
      </c>
      <c r="C8">
        <v>1</v>
      </c>
      <c r="D8">
        <v>1</v>
      </c>
      <c r="E8">
        <v>5</v>
      </c>
      <c r="F8" t="s">
        <v>69</v>
      </c>
      <c r="G8">
        <v>5</v>
      </c>
      <c r="H8" t="str">
        <f t="shared" si="1"/>
        <v>None</v>
      </c>
      <c r="I8">
        <v>830</v>
      </c>
    </row>
    <row r="9" spans="1:9" x14ac:dyDescent="0.4">
      <c r="A9">
        <v>7</v>
      </c>
      <c r="B9" t="s">
        <v>70</v>
      </c>
      <c r="C9">
        <v>1</v>
      </c>
      <c r="D9">
        <v>1</v>
      </c>
      <c r="E9">
        <v>5</v>
      </c>
      <c r="F9" t="s">
        <v>70</v>
      </c>
      <c r="G9">
        <v>5</v>
      </c>
      <c r="H9" t="str">
        <f t="shared" si="1"/>
        <v>None</v>
      </c>
      <c r="I9">
        <v>900</v>
      </c>
    </row>
    <row r="10" spans="1:9" x14ac:dyDescent="0.4">
      <c r="A10">
        <v>8</v>
      </c>
      <c r="B10" t="s">
        <v>71</v>
      </c>
      <c r="C10">
        <v>2</v>
      </c>
      <c r="D10">
        <v>2</v>
      </c>
      <c r="E10">
        <v>5</v>
      </c>
      <c r="F10" t="s">
        <v>71</v>
      </c>
      <c r="G10">
        <v>5</v>
      </c>
      <c r="H10" t="str">
        <f t="shared" si="1"/>
        <v>None</v>
      </c>
      <c r="I10">
        <v>3500</v>
      </c>
    </row>
    <row r="11" spans="1:9" x14ac:dyDescent="0.4">
      <c r="A11">
        <v>9</v>
      </c>
      <c r="B11" t="s">
        <v>72</v>
      </c>
      <c r="C11">
        <v>1</v>
      </c>
      <c r="D11">
        <v>1</v>
      </c>
      <c r="E11">
        <v>5</v>
      </c>
      <c r="F11" t="s">
        <v>72</v>
      </c>
      <c r="G11">
        <v>5</v>
      </c>
      <c r="H11" t="str">
        <f t="shared" si="1"/>
        <v>None</v>
      </c>
      <c r="I11">
        <v>1100</v>
      </c>
    </row>
    <row r="12" spans="1:9" x14ac:dyDescent="0.4">
      <c r="A12">
        <v>10</v>
      </c>
      <c r="B12" t="s">
        <v>73</v>
      </c>
      <c r="C12">
        <v>1</v>
      </c>
      <c r="D12">
        <v>3</v>
      </c>
      <c r="E12">
        <v>5</v>
      </c>
      <c r="F12" t="s">
        <v>73</v>
      </c>
      <c r="G12">
        <v>5</v>
      </c>
      <c r="H12" t="str">
        <f t="shared" si="1"/>
        <v>None</v>
      </c>
      <c r="I12">
        <v>2700</v>
      </c>
    </row>
    <row r="13" spans="1:9" x14ac:dyDescent="0.4">
      <c r="A13">
        <v>11</v>
      </c>
      <c r="B13" t="s">
        <v>74</v>
      </c>
      <c r="C13">
        <v>1</v>
      </c>
      <c r="D13">
        <v>1</v>
      </c>
      <c r="E13">
        <v>5</v>
      </c>
      <c r="F13" t="s">
        <v>74</v>
      </c>
      <c r="G13">
        <v>5</v>
      </c>
      <c r="H13" t="str">
        <f t="shared" si="1"/>
        <v>None</v>
      </c>
      <c r="I13">
        <v>810</v>
      </c>
    </row>
    <row r="14" spans="1:9" x14ac:dyDescent="0.4">
      <c r="A14">
        <v>12</v>
      </c>
      <c r="B14" t="s">
        <v>75</v>
      </c>
      <c r="C14">
        <v>1</v>
      </c>
      <c r="D14">
        <v>1</v>
      </c>
      <c r="E14">
        <v>5</v>
      </c>
      <c r="F14" t="s">
        <v>75</v>
      </c>
      <c r="G14">
        <v>5</v>
      </c>
      <c r="H14" t="str">
        <f t="shared" si="1"/>
        <v>None</v>
      </c>
      <c r="I14">
        <v>1500</v>
      </c>
    </row>
    <row r="15" spans="1:9" x14ac:dyDescent="0.4">
      <c r="A15">
        <v>13</v>
      </c>
      <c r="B15" t="s">
        <v>76</v>
      </c>
      <c r="C15">
        <v>2</v>
      </c>
      <c r="D15">
        <v>2</v>
      </c>
      <c r="E15">
        <v>5</v>
      </c>
      <c r="F15" t="s">
        <v>76</v>
      </c>
      <c r="G15">
        <v>5</v>
      </c>
      <c r="H15" t="str">
        <f t="shared" si="1"/>
        <v>None</v>
      </c>
      <c r="I15">
        <v>3300</v>
      </c>
    </row>
    <row r="16" spans="1:9" x14ac:dyDescent="0.4">
      <c r="A16">
        <v>14</v>
      </c>
      <c r="B16" t="s">
        <v>80</v>
      </c>
      <c r="C16">
        <v>1</v>
      </c>
      <c r="D16">
        <v>1</v>
      </c>
      <c r="E16">
        <v>5</v>
      </c>
      <c r="F16" t="s">
        <v>80</v>
      </c>
      <c r="G16">
        <v>5</v>
      </c>
      <c r="H16" t="str">
        <f t="shared" si="1"/>
        <v>None</v>
      </c>
      <c r="I16">
        <v>800</v>
      </c>
    </row>
    <row r="17" spans="1:9" x14ac:dyDescent="0.4">
      <c r="A17">
        <v>15</v>
      </c>
      <c r="B17" t="s">
        <v>77</v>
      </c>
      <c r="C17">
        <v>2</v>
      </c>
      <c r="D17">
        <v>1</v>
      </c>
      <c r="E17">
        <v>5</v>
      </c>
      <c r="F17" t="s">
        <v>77</v>
      </c>
      <c r="G17">
        <v>5</v>
      </c>
      <c r="H17" t="str">
        <f t="shared" si="1"/>
        <v>None</v>
      </c>
      <c r="I17">
        <v>1700</v>
      </c>
    </row>
    <row r="18" spans="1:9" x14ac:dyDescent="0.4">
      <c r="A18">
        <v>16</v>
      </c>
      <c r="B18" t="s">
        <v>78</v>
      </c>
      <c r="C18">
        <v>2</v>
      </c>
      <c r="D18">
        <v>3</v>
      </c>
      <c r="E18">
        <v>1</v>
      </c>
      <c r="F18" t="s">
        <v>78</v>
      </c>
      <c r="G18">
        <v>5</v>
      </c>
      <c r="H18" t="str">
        <f t="shared" si="1"/>
        <v>None</v>
      </c>
      <c r="I18">
        <v>10000</v>
      </c>
    </row>
    <row r="19" spans="1:9" x14ac:dyDescent="0.4">
      <c r="A19">
        <v>17</v>
      </c>
      <c r="B19" t="s">
        <v>79</v>
      </c>
      <c r="C19">
        <v>1</v>
      </c>
      <c r="D19">
        <v>3</v>
      </c>
      <c r="E19">
        <f>100-SUM(E2:E18)</f>
        <v>31</v>
      </c>
      <c r="F19" t="s">
        <v>79</v>
      </c>
      <c r="G19">
        <v>5</v>
      </c>
      <c r="H19" t="str">
        <f t="shared" si="1"/>
        <v>None</v>
      </c>
      <c r="I19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2026-01-14T06:25:29Z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